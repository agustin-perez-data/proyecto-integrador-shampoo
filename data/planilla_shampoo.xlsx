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guia_formulas_limpieza" sheetId="7" state="visible" r:id="rId7"/>
    <sheet xmlns:r="http://schemas.openxmlformats.org/officeDocument/2006/relationships" name="estadistica_descriptiv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b val="1"/>
      <color rgb="00FFFFFF"/>
      <sz val="12"/>
    </font>
    <font>
      <b val="1"/>
      <color rgb="00FFFFFF"/>
      <sz val="9"/>
    </font>
    <font>
      <color rgb="00000000"/>
      <sz val="9"/>
    </font>
    <font>
      <i val="1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6C3483"/>
      </patternFill>
    </fill>
    <fill>
      <patternFill patternType="solid">
        <fgColor rgb="001C2833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117A65"/>
      </patternFill>
    </fill>
    <fill>
      <patternFill patternType="solid">
        <fgColor rgb="007842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16" borderId="0" applyAlignment="1" pivotButton="0" quotePrefix="0" xfId="0">
      <alignment horizontal="center" vertical="center" wrapText="1"/>
    </xf>
    <xf numFmtId="0" fontId="5" fillId="17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2" fillId="14" borderId="0" applyAlignment="1" pivotButton="0" quotePrefix="0" xfId="0">
      <alignment horizontal="left" vertical="center" wrapText="1"/>
    </xf>
    <xf numFmtId="0" fontId="2" fillId="18" borderId="0" applyAlignment="1" pivotButton="0" quotePrefix="0" xfId="0">
      <alignment horizontal="left" vertical="center" wrapText="1"/>
    </xf>
    <xf numFmtId="0" fontId="2" fillId="19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TRIM(CLEAN(PROPER(D2)))</f>
        <v/>
      </c>
      <c r="Q2" s="4">
        <f>PROPER(TRIM(SUBSTITUTE(SUBSTITUTE(SUBSTITUTE(SUBSTITUTE(E2,"TRESEMME","Tresemme"),"HEAD &amp; SHOULDERS","Head &amp; Shoulders"),"ELVIVE","Elvive"),"FRUCTIS","Fructis")))</f>
        <v/>
      </c>
      <c r="R2" s="4">
        <f>COUNTIF($D$2:$D$10000,D2)&gt;1</f>
        <v/>
      </c>
      <c r="S2" s="4">
        <f>IF(H2=TRUE,"Disponible","No disponible")</f>
        <v/>
      </c>
      <c r="T2" s="4">
        <f>IF(AND(ISNUMBER(I2),I2&gt;0),ROUND(F2/I2,2),"Sin volumen")</f>
        <v/>
      </c>
      <c r="U2" s="4">
        <f>IF(F2&lt;5000,"Bajo",IF(F2&lt;15000,"Medio","Alto"))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TRIM(CLEAN(PROPER(D4)))</f>
        <v/>
      </c>
      <c r="Q4" s="4">
        <f>PROPER(TRIM(SUBSTITUTE(SUBSTITUTE(SUBSTITUTE(SUBSTITUTE(E4,"TRESEMME","Tresemme"),"HEAD &amp; SHOULDERS","Head &amp; Shoulders"),"ELVIVE","Elvive"),"FRUCTIS","Fructis")))</f>
        <v/>
      </c>
      <c r="R4" s="4">
        <f>COUNTIF($D$2:$D$10000,D4)&gt;1</f>
        <v/>
      </c>
      <c r="S4" s="4">
        <f>IF(H4=TRUE,"Disponible","No disponible")</f>
        <v/>
      </c>
      <c r="T4" s="4">
        <f>IF(AND(ISNUMBER(I4),I4&gt;0),ROUND(F4/I4,2),"Sin volumen")</f>
        <v/>
      </c>
      <c r="U4" s="4">
        <f>IF(F4&lt;5000,"Bajo",IF(F4&lt;15000,"Medio","Alto"))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TRIM(CLEAN(PROPER(D6)))</f>
        <v/>
      </c>
      <c r="Q6" s="4">
        <f>PROPER(TRIM(SUBSTITUTE(SUBSTITUTE(SUBSTITUTE(SUBSTITUTE(E6,"TRESEMME","Tresemme"),"HEAD &amp; SHOULDERS","Head &amp; Shoulders"),"ELVIVE","Elvive"),"FRUCTIS","Fructis")))</f>
        <v/>
      </c>
      <c r="R6" s="4">
        <f>COUNTIF($D$2:$D$10000,D6)&gt;1</f>
        <v/>
      </c>
      <c r="S6" s="4">
        <f>IF(H6=TRUE,"Disponible","No disponible")</f>
        <v/>
      </c>
      <c r="T6" s="4">
        <f>IF(AND(ISNUMBER(I6),I6&gt;0),ROUND(F6/I6,2),"Sin volumen")</f>
        <v/>
      </c>
      <c r="U6" s="4">
        <f>IF(F6&lt;5000,"Bajo",IF(F6&lt;15000,"Medio","Alto"))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TRIM(CLEAN(PROPER(D8)))</f>
        <v/>
      </c>
      <c r="Q8" s="4">
        <f>PROPER(TRIM(SUBSTITUTE(SUBSTITUTE(SUBSTITUTE(SUBSTITUTE(E8,"TRESEMME","Tresemme"),"HEAD &amp; SHOULDERS","Head &amp; Shoulders"),"ELVIVE","Elvive"),"FRUCTIS","Fructis")))</f>
        <v/>
      </c>
      <c r="R8" s="4">
        <f>COUNTIF($D$2:$D$10000,D8)&gt;1</f>
        <v/>
      </c>
      <c r="S8" s="4">
        <f>IF(H8=TRUE,"Disponible","No disponible")</f>
        <v/>
      </c>
      <c r="T8" s="4">
        <f>IF(AND(ISNUMBER(I8),I8&gt;0),ROUND(F8/I8,2),"Sin volumen")</f>
        <v/>
      </c>
      <c r="U8" s="4">
        <f>IF(F8&lt;5000,"Bajo",IF(F8&lt;15000,"Medio","Alto"))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TRIM(CLEAN(PROPER(D10)))</f>
        <v/>
      </c>
      <c r="Q10" s="4">
        <f>PROPER(TRIM(SUBSTITUTE(SUBSTITUTE(SUBSTITUTE(SUBSTITUTE(E10,"TRESEMME","Tresemme"),"HEAD &amp; SHOULDERS","Head &amp; Shoulders"),"ELVIVE","Elvive"),"FRUCTIS","Fructis")))</f>
        <v/>
      </c>
      <c r="R10" s="4">
        <f>COUNTIF($D$2:$D$10000,D10)&gt;1</f>
        <v/>
      </c>
      <c r="S10" s="4">
        <f>IF(H10=TRUE,"Disponible","No disponible")</f>
        <v/>
      </c>
      <c r="T10" s="4">
        <f>IF(AND(ISNUMBER(I10),I10&gt;0),ROUND(F10/I10,2),"Sin volumen")</f>
        <v/>
      </c>
      <c r="U10" s="4">
        <f>IF(F10&lt;5000,"Bajo",IF(F10&lt;15000,"Medio","Alto"))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TRIM(CLEAN(PROPER(D12)))</f>
        <v/>
      </c>
      <c r="Q12" s="4">
        <f>PROPER(TRIM(SUBSTITUTE(SUBSTITUTE(SUBSTITUTE(SUBSTITUTE(E12,"TRESEMME","Tresemme"),"HEAD &amp; SHOULDERS","Head &amp; Shoulders"),"ELVIVE","Elvive"),"FRUCTIS","Fructis")))</f>
        <v/>
      </c>
      <c r="R12" s="4">
        <f>COUNTIF($D$2:$D$10000,D12)&gt;1</f>
        <v/>
      </c>
      <c r="S12" s="4">
        <f>IF(H12=TRUE,"Disponible","No disponible")</f>
        <v/>
      </c>
      <c r="T12" s="4">
        <f>IF(AND(ISNUMBER(I12),I12&gt;0),ROUND(F12/I12,2),"Sin volumen")</f>
        <v/>
      </c>
      <c r="U12" s="4">
        <f>IF(F12&lt;5000,"Bajo",IF(F12&lt;15000,"Medio","Alto"))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TRIM(CLEAN(PROPER(D14)))</f>
        <v/>
      </c>
      <c r="Q14" s="4">
        <f>PROPER(TRIM(SUBSTITUTE(SUBSTITUTE(SUBSTITUTE(SUBSTITUTE(E14,"TRESEMME","Tresemme"),"HEAD &amp; SHOULDERS","Head &amp; Shoulders"),"ELVIVE","Elvive"),"FRUCTIS","Fructis")))</f>
        <v/>
      </c>
      <c r="R14" s="4">
        <f>COUNTIF($D$2:$D$10000,D14)&gt;1</f>
        <v/>
      </c>
      <c r="S14" s="4">
        <f>IF(H14=TRUE,"Disponible","No disponible")</f>
        <v/>
      </c>
      <c r="T14" s="4">
        <f>IF(AND(ISNUMBER(I14),I14&gt;0),ROUND(F14/I14,2),"Sin volumen")</f>
        <v/>
      </c>
      <c r="U14" s="4">
        <f>IF(F14&lt;5000,"Bajo",IF(F14&lt;15000,"Medio","Alto"))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TRIM(CLEAN(PROPER(D16)))</f>
        <v/>
      </c>
      <c r="Q16" s="4">
        <f>PROPER(TRIM(SUBSTITUTE(SUBSTITUTE(SUBSTITUTE(SUBSTITUTE(E16,"TRESEMME","Tresemme"),"HEAD &amp; SHOULDERS","Head &amp; Shoulders"),"ELVIVE","Elvive"),"FRUCTIS","Fructis")))</f>
        <v/>
      </c>
      <c r="R16" s="4">
        <f>COUNTIF($D$2:$D$10000,D16)&gt;1</f>
        <v/>
      </c>
      <c r="S16" s="4">
        <f>IF(H16=TRUE,"Disponible","No disponible")</f>
        <v/>
      </c>
      <c r="T16" s="4">
        <f>IF(AND(ISNUMBER(I16),I16&gt;0),ROUND(F16/I16,2),"Sin volumen")</f>
        <v/>
      </c>
      <c r="U16" s="4">
        <f>IF(F16&lt;5000,"Bajo",IF(F16&lt;15000,"Medio","Alto"))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TRIM(CLEAN(PROPER(D18)))</f>
        <v/>
      </c>
      <c r="Q18" s="4">
        <f>PROPER(TRIM(SUBSTITUTE(SUBSTITUTE(SUBSTITUTE(SUBSTITUTE(E18,"TRESEMME","Tresemme"),"HEAD &amp; SHOULDERS","Head &amp; Shoulders"),"ELVIVE","Elvive"),"FRUCTIS","Fructis")))</f>
        <v/>
      </c>
      <c r="R18" s="4">
        <f>COUNTIF($D$2:$D$10000,D18)&gt;1</f>
        <v/>
      </c>
      <c r="S18" s="4">
        <f>IF(H18=TRUE,"Disponible","No disponible")</f>
        <v/>
      </c>
      <c r="T18" s="4">
        <f>IF(AND(ISNUMBER(I18),I18&gt;0),ROUND(F18/I18,2),"Sin volumen")</f>
        <v/>
      </c>
      <c r="U18" s="4">
        <f>IF(F18&lt;5000,"Bajo",IF(F18&lt;15000,"Medio","Alto"))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TRIM(CLEAN(PROPER(D20)))</f>
        <v/>
      </c>
      <c r="Q20" s="4">
        <f>PROPER(TRIM(SUBSTITUTE(SUBSTITUTE(SUBSTITUTE(SUBSTITUTE(E20,"TRESEMME","Tresemme"),"HEAD &amp; SHOULDERS","Head &amp; Shoulders"),"ELVIVE","Elvive"),"FRUCTIS","Fructis")))</f>
        <v/>
      </c>
      <c r="R20" s="4">
        <f>COUNTIF($D$2:$D$10000,D20)&gt;1</f>
        <v/>
      </c>
      <c r="S20" s="4">
        <f>IF(H20=TRUE,"Disponible","No disponible")</f>
        <v/>
      </c>
      <c r="T20" s="4">
        <f>IF(AND(ISNUMBER(I20),I20&gt;0),ROUND(F20/I20,2),"Sin volumen")</f>
        <v/>
      </c>
      <c r="U20" s="4">
        <f>IF(F20&lt;5000,"Bajo",IF(F20&lt;15000,"Medio","Alto"))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TRIM(CLEAN(PROPER(D22)))</f>
        <v/>
      </c>
      <c r="Q22" s="4">
        <f>PROPER(TRIM(SUBSTITUTE(SUBSTITUTE(SUBSTITUTE(SUBSTITUTE(E22,"TRESEMME","Tresemme"),"HEAD &amp; SHOULDERS","Head &amp; Shoulders"),"ELVIVE","Elvive"),"FRUCTIS","Fructis")))</f>
        <v/>
      </c>
      <c r="R22" s="4">
        <f>COUNTIF($D$2:$D$10000,D22)&gt;1</f>
        <v/>
      </c>
      <c r="S22" s="4">
        <f>IF(H22=TRUE,"Disponible","No disponible")</f>
        <v/>
      </c>
      <c r="T22" s="4">
        <f>IF(AND(ISNUMBER(I22),I22&gt;0),ROUND(F22/I22,2),"Sin volumen")</f>
        <v/>
      </c>
      <c r="U22" s="4">
        <f>IF(F22&lt;5000,"Bajo",IF(F22&lt;15000,"Medio","Alto"))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TRIM(CLEAN(PROPER(D24)))</f>
        <v/>
      </c>
      <c r="Q24" s="4">
        <f>PROPER(TRIM(SUBSTITUTE(SUBSTITUTE(SUBSTITUTE(SUBSTITUTE(E24,"TRESEMME","Tresemme"),"HEAD &amp; SHOULDERS","Head &amp; Shoulders"),"ELVIVE","Elvive"),"FRUCTIS","Fructis")))</f>
        <v/>
      </c>
      <c r="R24" s="4">
        <f>COUNTIF($D$2:$D$10000,D24)&gt;1</f>
        <v/>
      </c>
      <c r="S24" s="4">
        <f>IF(H24=TRUE,"Disponible","No disponible")</f>
        <v/>
      </c>
      <c r="T24" s="4">
        <f>IF(AND(ISNUMBER(I24),I24&gt;0),ROUND(F24/I24,2),"Sin volumen")</f>
        <v/>
      </c>
      <c r="U24" s="4">
        <f>IF(F24&lt;5000,"Bajo",IF(F24&lt;15000,"Medio","Alto"))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TRIM(CLEAN(PROPER(D26)))</f>
        <v/>
      </c>
      <c r="Q26" s="4">
        <f>PROPER(TRIM(SUBSTITUTE(SUBSTITUTE(SUBSTITUTE(SUBSTITUTE(E26,"TRESEMME","Tresemme"),"HEAD &amp; SHOULDERS","Head &amp; Shoulders"),"ELVIVE","Elvive"),"FRUCTIS","Fructis")))</f>
        <v/>
      </c>
      <c r="R26" s="4">
        <f>COUNTIF($D$2:$D$10000,D26)&gt;1</f>
        <v/>
      </c>
      <c r="S26" s="4">
        <f>IF(H26=TRUE,"Disponible","No disponible")</f>
        <v/>
      </c>
      <c r="T26" s="4">
        <f>IF(AND(ISNUMBER(I26),I26&gt;0),ROUND(F26/I26,2),"Sin volumen")</f>
        <v/>
      </c>
      <c r="U26" s="4">
        <f>IF(F26&lt;5000,"Bajo",IF(F26&lt;15000,"Medio","Alto"))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TRIM(CLEAN(PROPER(D28)))</f>
        <v/>
      </c>
      <c r="Q28" s="4">
        <f>PROPER(TRIM(SUBSTITUTE(SUBSTITUTE(SUBSTITUTE(SUBSTITUTE(E28,"TRESEMME","Tresemme"),"HEAD &amp; SHOULDERS","Head &amp; Shoulders"),"ELVIVE","Elvive"),"FRUCTIS","Fructis")))</f>
        <v/>
      </c>
      <c r="R28" s="4">
        <f>COUNTIF($D$2:$D$10000,D28)&gt;1</f>
        <v/>
      </c>
      <c r="S28" s="4">
        <f>IF(H28=TRUE,"Disponible","No disponible")</f>
        <v/>
      </c>
      <c r="T28" s="4">
        <f>IF(AND(ISNUMBER(I28),I28&gt;0),ROUND(F28/I28,2),"Sin volumen")</f>
        <v/>
      </c>
      <c r="U28" s="4">
        <f>IF(F28&lt;5000,"Bajo",IF(F28&lt;15000,"Medio","Alto"))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TRIM(CLEAN(PROPER(D30)))</f>
        <v/>
      </c>
      <c r="Q30" s="4">
        <f>PROPER(TRIM(SUBSTITUTE(SUBSTITUTE(SUBSTITUTE(SUBSTITUTE(E30,"TRESEMME","Tresemme"),"HEAD &amp; SHOULDERS","Head &amp; Shoulders"),"ELVIVE","Elvive"),"FRUCTIS","Fructis")))</f>
        <v/>
      </c>
      <c r="R30" s="4">
        <f>COUNTIF($D$2:$D$10000,D30)&gt;1</f>
        <v/>
      </c>
      <c r="S30" s="4">
        <f>IF(H30=TRUE,"Disponible","No disponible")</f>
        <v/>
      </c>
      <c r="T30" s="4">
        <f>IF(AND(ISNUMBER(I30),I30&gt;0),ROUND(F30/I30,2),"Sin volumen")</f>
        <v/>
      </c>
      <c r="U30" s="4">
        <f>IF(F30&lt;5000,"Bajo",IF(F30&lt;15000,"Medio","Alto"))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TRIM(CLEAN(PROPER(D32)))</f>
        <v/>
      </c>
      <c r="Q32" s="4">
        <f>PROPER(TRIM(SUBSTITUTE(SUBSTITUTE(SUBSTITUTE(SUBSTITUTE(E32,"TRESEMME","Tresemme"),"HEAD &amp; SHOULDERS","Head &amp; Shoulders"),"ELVIVE","Elvive"),"FRUCTIS","Fructis")))</f>
        <v/>
      </c>
      <c r="R32" s="4">
        <f>COUNTIF($D$2:$D$10000,D32)&gt;1</f>
        <v/>
      </c>
      <c r="S32" s="4">
        <f>IF(H32=TRUE,"Disponible","No disponible")</f>
        <v/>
      </c>
      <c r="T32" s="4">
        <f>IF(AND(ISNUMBER(I32),I32&gt;0),ROUND(F32/I32,2),"Sin volumen")</f>
        <v/>
      </c>
      <c r="U32" s="4">
        <f>IF(F32&lt;5000,"Bajo",IF(F32&lt;15000,"Medio","Alto"))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TRIM(CLEAN(PROPER(D34)))</f>
        <v/>
      </c>
      <c r="Q34" s="4">
        <f>PROPER(TRIM(SUBSTITUTE(SUBSTITUTE(SUBSTITUTE(SUBSTITUTE(E34,"TRESEMME","Tresemme"),"HEAD &amp; SHOULDERS","Head &amp; Shoulders"),"ELVIVE","Elvive"),"FRUCTIS","Fructis")))</f>
        <v/>
      </c>
      <c r="R34" s="4">
        <f>COUNTIF($D$2:$D$10000,D34)&gt;1</f>
        <v/>
      </c>
      <c r="S34" s="4">
        <f>IF(H34=TRUE,"Disponible","No disponible")</f>
        <v/>
      </c>
      <c r="T34" s="4">
        <f>IF(AND(ISNUMBER(I34),I34&gt;0),ROUND(F34/I34,2),"Sin volumen")</f>
        <v/>
      </c>
      <c r="U34" s="4">
        <f>IF(F34&lt;5000,"Bajo",IF(F34&lt;15000,"Medio","Alto"))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TRIM(CLEAN(PROPER(D36)))</f>
        <v/>
      </c>
      <c r="Q36" s="4">
        <f>PROPER(TRIM(SUBSTITUTE(SUBSTITUTE(SUBSTITUTE(SUBSTITUTE(E36,"TRESEMME","Tresemme"),"HEAD &amp; SHOULDERS","Head &amp; Shoulders"),"ELVIVE","Elvive"),"FRUCTIS","Fructis")))</f>
        <v/>
      </c>
      <c r="R36" s="4">
        <f>COUNTIF($D$2:$D$10000,D36)&gt;1</f>
        <v/>
      </c>
      <c r="S36" s="4">
        <f>IF(H36=TRUE,"Disponible","No disponible")</f>
        <v/>
      </c>
      <c r="T36" s="4">
        <f>IF(AND(ISNUMBER(I36),I36&gt;0),ROUND(F36/I36,2),"Sin volumen")</f>
        <v/>
      </c>
      <c r="U36" s="4">
        <f>IF(F36&lt;5000,"Bajo",IF(F36&lt;15000,"Medio","Alto"))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TRIM(CLEAN(PROPER(D38)))</f>
        <v/>
      </c>
      <c r="Q38" s="4">
        <f>PROPER(TRIM(SUBSTITUTE(SUBSTITUTE(SUBSTITUTE(SUBSTITUTE(E38,"TRESEMME","Tresemme"),"HEAD &amp; SHOULDERS","Head &amp; Shoulders"),"ELVIVE","Elvive"),"FRUCTIS","Fructis")))</f>
        <v/>
      </c>
      <c r="R38" s="4">
        <f>COUNTIF($D$2:$D$10000,D38)&gt;1</f>
        <v/>
      </c>
      <c r="S38" s="4">
        <f>IF(H38=TRUE,"Disponible","No disponible")</f>
        <v/>
      </c>
      <c r="T38" s="4">
        <f>IF(AND(ISNUMBER(I38),I38&gt;0),ROUND(F38/I38,2),"Sin volumen")</f>
        <v/>
      </c>
      <c r="U38" s="4">
        <f>IF(F38&lt;5000,"Bajo",IF(F38&lt;15000,"Medio","Alto"))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TRIM(CLEAN(PROPER(D40)))</f>
        <v/>
      </c>
      <c r="Q40" s="4">
        <f>PROPER(TRIM(SUBSTITUTE(SUBSTITUTE(SUBSTITUTE(SUBSTITUTE(E40,"TRESEMME","Tresemme"),"HEAD &amp; SHOULDERS","Head &amp; Shoulders"),"ELVIVE","Elvive"),"FRUCTIS","Fructis")))</f>
        <v/>
      </c>
      <c r="R40" s="4">
        <f>COUNTIF($D$2:$D$10000,D40)&gt;1</f>
        <v/>
      </c>
      <c r="S40" s="4">
        <f>IF(H40=TRUE,"Disponible","No disponible")</f>
        <v/>
      </c>
      <c r="T40" s="4">
        <f>IF(AND(ISNUMBER(I40),I40&gt;0),ROUND(F40/I40,2),"Sin volumen")</f>
        <v/>
      </c>
      <c r="U40" s="4">
        <f>IF(F40&lt;5000,"Bajo",IF(F40&lt;15000,"Medio","Alto"))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TRIM(CLEAN(PROPER(D42)))</f>
        <v/>
      </c>
      <c r="Q42" s="4">
        <f>PROPER(TRIM(SUBSTITUTE(SUBSTITUTE(SUBSTITUTE(SUBSTITUTE(E42,"TRESEMME","Tresemme"),"HEAD &amp; SHOULDERS","Head &amp; Shoulders"),"ELVIVE","Elvive"),"FRUCTIS","Fructis")))</f>
        <v/>
      </c>
      <c r="R42" s="4">
        <f>COUNTIF($D$2:$D$10000,D42)&gt;1</f>
        <v/>
      </c>
      <c r="S42" s="4">
        <f>IF(H42=TRUE,"Disponible","No disponible")</f>
        <v/>
      </c>
      <c r="T42" s="4">
        <f>IF(AND(ISNUMBER(I42),I42&gt;0),ROUND(F42/I42,2),"Sin volumen")</f>
        <v/>
      </c>
      <c r="U42" s="4">
        <f>IF(F42&lt;5000,"Bajo",IF(F42&lt;15000,"Medio","Alto"))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TRIM(CLEAN(PROPER(D44)))</f>
        <v/>
      </c>
      <c r="Q44" s="4">
        <f>PROPER(TRIM(SUBSTITUTE(SUBSTITUTE(SUBSTITUTE(SUBSTITUTE(E44,"TRESEMME","Tresemme"),"HEAD &amp; SHOULDERS","Head &amp; Shoulders"),"ELVIVE","Elvive"),"FRUCTIS","Fructis")))</f>
        <v/>
      </c>
      <c r="R44" s="4">
        <f>COUNTIF($D$2:$D$10000,D44)&gt;1</f>
        <v/>
      </c>
      <c r="S44" s="4">
        <f>IF(H44=TRUE,"Disponible","No disponible")</f>
        <v/>
      </c>
      <c r="T44" s="4">
        <f>IF(AND(ISNUMBER(I44),I44&gt;0),ROUND(F44/I44,2),"Sin volumen")</f>
        <v/>
      </c>
      <c r="U44" s="4">
        <f>IF(F44&lt;5000,"Bajo",IF(F44&lt;15000,"Medio","Alto"))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TRIM(CLEAN(PROPER(D46)))</f>
        <v/>
      </c>
      <c r="Q46" s="4">
        <f>PROPER(TRIM(SUBSTITUTE(SUBSTITUTE(SUBSTITUTE(SUBSTITUTE(E46,"TRESEMME","Tresemme"),"HEAD &amp; SHOULDERS","Head &amp; Shoulders"),"ELVIVE","Elvive"),"FRUCTIS","Fructis")))</f>
        <v/>
      </c>
      <c r="R46" s="4">
        <f>COUNTIF($D$2:$D$10000,D46)&gt;1</f>
        <v/>
      </c>
      <c r="S46" s="4">
        <f>IF(H46=TRUE,"Disponible","No disponible")</f>
        <v/>
      </c>
      <c r="T46" s="4">
        <f>IF(AND(ISNUMBER(I46),I46&gt;0),ROUND(F46/I46,2),"Sin volumen")</f>
        <v/>
      </c>
      <c r="U46" s="4">
        <f>IF(F46&lt;5000,"Bajo",IF(F46&lt;15000,"Medio","Alto"))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TRIM(CLEAN(PROPER(D48)))</f>
        <v/>
      </c>
      <c r="Q48" s="4">
        <f>PROPER(TRIM(SUBSTITUTE(SUBSTITUTE(SUBSTITUTE(SUBSTITUTE(E48,"TRESEMME","Tresemme"),"HEAD &amp; SHOULDERS","Head &amp; Shoulders"),"ELVIVE","Elvive"),"FRUCTIS","Fructis")))</f>
        <v/>
      </c>
      <c r="R48" s="4">
        <f>COUNTIF($D$2:$D$10000,D48)&gt;1</f>
        <v/>
      </c>
      <c r="S48" s="4">
        <f>IF(H48=TRUE,"Disponible","No disponible")</f>
        <v/>
      </c>
      <c r="T48" s="4">
        <f>IF(AND(ISNUMBER(I48),I48&gt;0),ROUND(F48/I48,2),"Sin volumen")</f>
        <v/>
      </c>
      <c r="U48" s="4">
        <f>IF(F48&lt;5000,"Bajo",IF(F48&lt;15000,"Medio","Alto"))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TRIM(CLEAN(PROPER(D50)))</f>
        <v/>
      </c>
      <c r="Q50" s="4">
        <f>PROPER(TRIM(SUBSTITUTE(SUBSTITUTE(SUBSTITUTE(SUBSTITUTE(E50,"TRESEMME","Tresemme"),"HEAD &amp; SHOULDERS","Head &amp; Shoulders"),"ELVIVE","Elvive"),"FRUCTIS","Fructis")))</f>
        <v/>
      </c>
      <c r="R50" s="4">
        <f>COUNTIF($D$2:$D$10000,D50)&gt;1</f>
        <v/>
      </c>
      <c r="S50" s="4">
        <f>IF(H50=TRUE,"Disponible","No disponible")</f>
        <v/>
      </c>
      <c r="T50" s="4">
        <f>IF(AND(ISNUMBER(I50),I50&gt;0),ROUND(F50/I50,2),"Sin volumen")</f>
        <v/>
      </c>
      <c r="U50" s="4">
        <f>IF(F50&lt;5000,"Bajo",IF(F50&lt;15000,"Medio","Alto"))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TRIM(CLEAN(PROPER(D52)))</f>
        <v/>
      </c>
      <c r="Q52" s="4">
        <f>PROPER(TRIM(SUBSTITUTE(SUBSTITUTE(SUBSTITUTE(SUBSTITUTE(E52,"TRESEMME","Tresemme"),"HEAD &amp; SHOULDERS","Head &amp; Shoulders"),"ELVIVE","Elvive"),"FRUCTIS","Fructis")))</f>
        <v/>
      </c>
      <c r="R52" s="4">
        <f>COUNTIF($D$2:$D$10000,D52)&gt;1</f>
        <v/>
      </c>
      <c r="S52" s="4">
        <f>IF(H52=TRUE,"Disponible","No disponible")</f>
        <v/>
      </c>
      <c r="T52" s="4">
        <f>IF(AND(ISNUMBER(I52),I52&gt;0),ROUND(F52/I52,2),"Sin volumen")</f>
        <v/>
      </c>
      <c r="U52" s="4">
        <f>IF(F52&lt;5000,"Bajo",IF(F52&lt;15000,"Medio","Alto"))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TRIM(CLEAN(PROPER(D54)))</f>
        <v/>
      </c>
      <c r="Q54" s="4">
        <f>PROPER(TRIM(SUBSTITUTE(SUBSTITUTE(SUBSTITUTE(SUBSTITUTE(E54,"TRESEMME","Tresemme"),"HEAD &amp; SHOULDERS","Head &amp; Shoulders"),"ELVIVE","Elvive"),"FRUCTIS","Fructis")))</f>
        <v/>
      </c>
      <c r="R54" s="4">
        <f>COUNTIF($D$2:$D$10000,D54)&gt;1</f>
        <v/>
      </c>
      <c r="S54" s="4">
        <f>IF(H54=TRUE,"Disponible","No disponible")</f>
        <v/>
      </c>
      <c r="T54" s="4">
        <f>IF(AND(ISNUMBER(I54),I54&gt;0),ROUND(F54/I54,2),"Sin volumen")</f>
        <v/>
      </c>
      <c r="U54" s="4">
        <f>IF(F54&lt;5000,"Bajo",IF(F54&lt;15000,"Medio","Alto"))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TRIM(CLEAN(PROPER(D56)))</f>
        <v/>
      </c>
      <c r="Q56" s="4">
        <f>PROPER(TRIM(SUBSTITUTE(SUBSTITUTE(SUBSTITUTE(SUBSTITUTE(E56,"TRESEMME","Tresemme"),"HEAD &amp; SHOULDERS","Head &amp; Shoulders"),"ELVIVE","Elvive"),"FRUCTIS","Fructis")))</f>
        <v/>
      </c>
      <c r="R56" s="4">
        <f>COUNTIF($D$2:$D$10000,D56)&gt;1</f>
        <v/>
      </c>
      <c r="S56" s="4">
        <f>IF(H56=TRUE,"Disponible","No disponible")</f>
        <v/>
      </c>
      <c r="T56" s="4">
        <f>IF(AND(ISNUMBER(I56),I56&gt;0),ROUND(F56/I56,2),"Sin volumen")</f>
        <v/>
      </c>
      <c r="U56" s="4">
        <f>IF(F56&lt;5000,"Bajo",IF(F56&lt;15000,"Medio","Alto"))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TRIM(CLEAN(PROPER(D58)))</f>
        <v/>
      </c>
      <c r="Q58" s="4">
        <f>PROPER(TRIM(SUBSTITUTE(SUBSTITUTE(SUBSTITUTE(SUBSTITUTE(E58,"TRESEMME","Tresemme"),"HEAD &amp; SHOULDERS","Head &amp; Shoulders"),"ELVIVE","Elvive"),"FRUCTIS","Fructis")))</f>
        <v/>
      </c>
      <c r="R58" s="4">
        <f>COUNTIF($D$2:$D$10000,D58)&gt;1</f>
        <v/>
      </c>
      <c r="S58" s="4">
        <f>IF(H58=TRUE,"Disponible","No disponible")</f>
        <v/>
      </c>
      <c r="T58" s="4">
        <f>IF(AND(ISNUMBER(I58),I58&gt;0),ROUND(F58/I58,2),"Sin volumen")</f>
        <v/>
      </c>
      <c r="U58" s="4">
        <f>IF(F58&lt;5000,"Bajo",IF(F58&lt;15000,"Medio","Alto"))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TRIM(CLEAN(PROPER(D60)))</f>
        <v/>
      </c>
      <c r="Q60" s="4">
        <f>PROPER(TRIM(SUBSTITUTE(SUBSTITUTE(SUBSTITUTE(SUBSTITUTE(E60,"TRESEMME","Tresemme"),"HEAD &amp; SHOULDERS","Head &amp; Shoulders"),"ELVIVE","Elvive"),"FRUCTIS","Fructis")))</f>
        <v/>
      </c>
      <c r="R60" s="4">
        <f>COUNTIF($D$2:$D$10000,D60)&gt;1</f>
        <v/>
      </c>
      <c r="S60" s="4">
        <f>IF(H60=TRUE,"Disponible","No disponible")</f>
        <v/>
      </c>
      <c r="T60" s="4">
        <f>IF(AND(ISNUMBER(I60),I60&gt;0),ROUND(F60/I60,2),"Sin volumen")</f>
        <v/>
      </c>
      <c r="U60" s="4">
        <f>IF(F60&lt;5000,"Bajo",IF(F60&lt;15000,"Medio","Alto"))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TRIM(CLEAN(PROPER(D62)))</f>
        <v/>
      </c>
      <c r="Q62" s="4">
        <f>PROPER(TRIM(SUBSTITUTE(SUBSTITUTE(SUBSTITUTE(SUBSTITUTE(E62,"TRESEMME","Tresemme"),"HEAD &amp; SHOULDERS","Head &amp; Shoulders"),"ELVIVE","Elvive"),"FRUCTIS","Fructis")))</f>
        <v/>
      </c>
      <c r="R62" s="4">
        <f>COUNTIF($D$2:$D$10000,D62)&gt;1</f>
        <v/>
      </c>
      <c r="S62" s="4">
        <f>IF(H62=TRUE,"Disponible","No disponible")</f>
        <v/>
      </c>
      <c r="T62" s="4">
        <f>IF(AND(ISNUMBER(I62),I62&gt;0),ROUND(F62/I62,2),"Sin volumen")</f>
        <v/>
      </c>
      <c r="U62" s="4">
        <f>IF(F62&lt;5000,"Bajo",IF(F62&lt;15000,"Medio","Alto"))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TRIM(CLEAN(PROPER(D64)))</f>
        <v/>
      </c>
      <c r="Q64" s="4">
        <f>PROPER(TRIM(SUBSTITUTE(SUBSTITUTE(SUBSTITUTE(SUBSTITUTE(E64,"TRESEMME","Tresemme"),"HEAD &amp; SHOULDERS","Head &amp; Shoulders"),"ELVIVE","Elvive"),"FRUCTIS","Fructis")))</f>
        <v/>
      </c>
      <c r="R64" s="4">
        <f>COUNTIF($D$2:$D$10000,D64)&gt;1</f>
        <v/>
      </c>
      <c r="S64" s="4">
        <f>IF(H64=TRUE,"Disponible","No disponible")</f>
        <v/>
      </c>
      <c r="T64" s="4">
        <f>IF(AND(ISNUMBER(I64),I64&gt;0),ROUND(F64/I64,2),"Sin volumen")</f>
        <v/>
      </c>
      <c r="U64" s="4">
        <f>IF(F64&lt;5000,"Bajo",IF(F64&lt;15000,"Medio","Alto"))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TRIM(CLEAN(PROPER(D66)))</f>
        <v/>
      </c>
      <c r="Q66" s="4">
        <f>PROPER(TRIM(SUBSTITUTE(SUBSTITUTE(SUBSTITUTE(SUBSTITUTE(E66,"TRESEMME","Tresemme"),"HEAD &amp; SHOULDERS","Head &amp; Shoulders"),"ELVIVE","Elvive"),"FRUCTIS","Fructis")))</f>
        <v/>
      </c>
      <c r="R66" s="4">
        <f>COUNTIF($D$2:$D$10000,D66)&gt;1</f>
        <v/>
      </c>
      <c r="S66" s="4">
        <f>IF(H66=TRUE,"Disponible","No disponible")</f>
        <v/>
      </c>
      <c r="T66" s="4">
        <f>IF(AND(ISNUMBER(I66),I66&gt;0),ROUND(F66/I66,2),"Sin volumen")</f>
        <v/>
      </c>
      <c r="U66" s="4">
        <f>IF(F66&lt;5000,"Bajo",IF(F66&lt;15000,"Medio","Alto"))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TRIM(CLEAN(PROPER(D68)))</f>
        <v/>
      </c>
      <c r="Q68" s="4">
        <f>PROPER(TRIM(SUBSTITUTE(SUBSTITUTE(SUBSTITUTE(SUBSTITUTE(E68,"TRESEMME","Tresemme"),"HEAD &amp; SHOULDERS","Head &amp; Shoulders"),"ELVIVE","Elvive"),"FRUCTIS","Fructis")))</f>
        <v/>
      </c>
      <c r="R68" s="4">
        <f>COUNTIF($D$2:$D$10000,D68)&gt;1</f>
        <v/>
      </c>
      <c r="S68" s="4">
        <f>IF(H68=TRUE,"Disponible","No disponible")</f>
        <v/>
      </c>
      <c r="T68" s="4">
        <f>IF(AND(ISNUMBER(I68),I68&gt;0),ROUND(F68/I68,2),"Sin volumen")</f>
        <v/>
      </c>
      <c r="U68" s="4">
        <f>IF(F68&lt;5000,"Bajo",IF(F68&lt;15000,"Medio","Alto"))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TRIM(CLEAN(PROPER(D70)))</f>
        <v/>
      </c>
      <c r="Q70" s="4">
        <f>PROPER(TRIM(SUBSTITUTE(SUBSTITUTE(SUBSTITUTE(SUBSTITUTE(E70,"TRESEMME","Tresemme"),"HEAD &amp; SHOULDERS","Head &amp; Shoulders"),"ELVIVE","Elvive"),"FRUCTIS","Fructis")))</f>
        <v/>
      </c>
      <c r="R70" s="4">
        <f>COUNTIF($D$2:$D$10000,D70)&gt;1</f>
        <v/>
      </c>
      <c r="S70" s="4">
        <f>IF(H70=TRUE,"Disponible","No disponible")</f>
        <v/>
      </c>
      <c r="T70" s="4">
        <f>IF(AND(ISNUMBER(I70),I70&gt;0),ROUND(F70/I70,2),"Sin volumen")</f>
        <v/>
      </c>
      <c r="U70" s="4">
        <f>IF(F70&lt;5000,"Bajo",IF(F70&lt;15000,"Medio","Alto"))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TRIM(CLEAN(PROPER(D72)))</f>
        <v/>
      </c>
      <c r="Q72" s="4">
        <f>PROPER(TRIM(SUBSTITUTE(SUBSTITUTE(SUBSTITUTE(SUBSTITUTE(E72,"TRESEMME","Tresemme"),"HEAD &amp; SHOULDERS","Head &amp; Shoulders"),"ELVIVE","Elvive"),"FRUCTIS","Fructis")))</f>
        <v/>
      </c>
      <c r="R72" s="4">
        <f>COUNTIF($D$2:$D$10000,D72)&gt;1</f>
        <v/>
      </c>
      <c r="S72" s="4">
        <f>IF(H72=TRUE,"Disponible","No disponible")</f>
        <v/>
      </c>
      <c r="T72" s="4">
        <f>IF(AND(ISNUMBER(I72),I72&gt;0),ROUND(F72/I72,2),"Sin volumen")</f>
        <v/>
      </c>
      <c r="U72" s="4">
        <f>IF(F72&lt;5000,"Bajo",IF(F72&lt;15000,"Medio","Alto"))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TRIM(CLEAN(PROPER(D74)))</f>
        <v/>
      </c>
      <c r="Q74" s="4">
        <f>PROPER(TRIM(SUBSTITUTE(SUBSTITUTE(SUBSTITUTE(SUBSTITUTE(E74,"TRESEMME","Tresemme"),"HEAD &amp; SHOULDERS","Head &amp; Shoulders"),"ELVIVE","Elvive"),"FRUCTIS","Fructis")))</f>
        <v/>
      </c>
      <c r="R74" s="4">
        <f>COUNTIF($D$2:$D$10000,D74)&gt;1</f>
        <v/>
      </c>
      <c r="S74" s="4">
        <f>IF(H74=TRUE,"Disponible","No disponible")</f>
        <v/>
      </c>
      <c r="T74" s="4">
        <f>IF(AND(ISNUMBER(I74),I74&gt;0),ROUND(F74/I74,2),"Sin volumen")</f>
        <v/>
      </c>
      <c r="U74" s="4">
        <f>IF(F74&lt;5000,"Bajo",IF(F74&lt;15000,"Medio","Alto"))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TRIM(CLEAN(PROPER(D76)))</f>
        <v/>
      </c>
      <c r="Q76" s="4">
        <f>PROPER(TRIM(SUBSTITUTE(SUBSTITUTE(SUBSTITUTE(SUBSTITUTE(E76,"TRESEMME","Tresemme"),"HEAD &amp; SHOULDERS","Head &amp; Shoulders"),"ELVIVE","Elvive"),"FRUCTIS","Fructis")))</f>
        <v/>
      </c>
      <c r="R76" s="4">
        <f>COUNTIF($D$2:$D$10000,D76)&gt;1</f>
        <v/>
      </c>
      <c r="S76" s="4">
        <f>IF(H76=TRUE,"Disponible","No disponible")</f>
        <v/>
      </c>
      <c r="T76" s="4">
        <f>IF(AND(ISNUMBER(I76),I76&gt;0),ROUND(F76/I76,2),"Sin volumen")</f>
        <v/>
      </c>
      <c r="U76" s="4">
        <f>IF(F76&lt;5000,"Bajo",IF(F76&lt;15000,"Medio","Alto"))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TRIM(CLEAN(PROPER(D78)))</f>
        <v/>
      </c>
      <c r="Q78" s="4">
        <f>PROPER(TRIM(SUBSTITUTE(SUBSTITUTE(SUBSTITUTE(SUBSTITUTE(E78,"TRESEMME","Tresemme"),"HEAD &amp; SHOULDERS","Head &amp; Shoulders"),"ELVIVE","Elvive"),"FRUCTIS","Fructis")))</f>
        <v/>
      </c>
      <c r="R78" s="4">
        <f>COUNTIF($D$2:$D$10000,D78)&gt;1</f>
        <v/>
      </c>
      <c r="S78" s="4">
        <f>IF(H78=TRUE,"Disponible","No disponible")</f>
        <v/>
      </c>
      <c r="T78" s="4">
        <f>IF(AND(ISNUMBER(I78),I78&gt;0),ROUND(F78/I78,2),"Sin volumen")</f>
        <v/>
      </c>
      <c r="U78" s="4">
        <f>IF(F78&lt;5000,"Bajo",IF(F78&lt;15000,"Medio","Alto"))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TRIM(CLEAN(PROPER(D80)))</f>
        <v/>
      </c>
      <c r="Q80" s="4">
        <f>PROPER(TRIM(SUBSTITUTE(SUBSTITUTE(SUBSTITUTE(SUBSTITUTE(E80,"TRESEMME","Tresemme"),"HEAD &amp; SHOULDERS","Head &amp; Shoulders"),"ELVIVE","Elvive"),"FRUCTIS","Fructis")))</f>
        <v/>
      </c>
      <c r="R80" s="4">
        <f>COUNTIF($D$2:$D$10000,D80)&gt;1</f>
        <v/>
      </c>
      <c r="S80" s="4">
        <f>IF(H80=TRUE,"Disponible","No disponible")</f>
        <v/>
      </c>
      <c r="T80" s="4">
        <f>IF(AND(ISNUMBER(I80),I80&gt;0),ROUND(F80/I80,2),"Sin volumen")</f>
        <v/>
      </c>
      <c r="U80" s="4">
        <f>IF(F80&lt;5000,"Bajo",IF(F80&lt;15000,"Medio","Alto"))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TRIM(CLEAN(PROPER(D82)))</f>
        <v/>
      </c>
      <c r="Q82" s="4">
        <f>PROPER(TRIM(SUBSTITUTE(SUBSTITUTE(SUBSTITUTE(SUBSTITUTE(E82,"TRESEMME","Tresemme"),"HEAD &amp; SHOULDERS","Head &amp; Shoulders"),"ELVIVE","Elvive"),"FRUCTIS","Fructis")))</f>
        <v/>
      </c>
      <c r="R82" s="4">
        <f>COUNTIF($D$2:$D$10000,D82)&gt;1</f>
        <v/>
      </c>
      <c r="S82" s="4">
        <f>IF(H82=TRUE,"Disponible","No disponible")</f>
        <v/>
      </c>
      <c r="T82" s="4">
        <f>IF(AND(ISNUMBER(I82),I82&gt;0),ROUND(F82/I82,2),"Sin volumen")</f>
        <v/>
      </c>
      <c r="U82" s="4">
        <f>IF(F82&lt;5000,"Bajo",IF(F82&lt;15000,"Medio","Alto"))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TRIM(CLEAN(PROPER(D84)))</f>
        <v/>
      </c>
      <c r="Q84" s="4">
        <f>PROPER(TRIM(SUBSTITUTE(SUBSTITUTE(SUBSTITUTE(SUBSTITUTE(E84,"TRESEMME","Tresemme"),"HEAD &amp; SHOULDERS","Head &amp; Shoulders"),"ELVIVE","Elvive"),"FRUCTIS","Fructis")))</f>
        <v/>
      </c>
      <c r="R84" s="4">
        <f>COUNTIF($D$2:$D$10000,D84)&gt;1</f>
        <v/>
      </c>
      <c r="S84" s="4">
        <f>IF(H84=TRUE,"Disponible","No disponible")</f>
        <v/>
      </c>
      <c r="T84" s="4">
        <f>IF(AND(ISNUMBER(I84),I84&gt;0),ROUND(F84/I84,2),"Sin volumen")</f>
        <v/>
      </c>
      <c r="U84" s="4">
        <f>IF(F84&lt;5000,"Bajo",IF(F84&lt;15000,"Medio","Alto"))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TRIM(CLEAN(PROPER(D86)))</f>
        <v/>
      </c>
      <c r="Q86" s="4">
        <f>PROPER(TRIM(SUBSTITUTE(SUBSTITUTE(SUBSTITUTE(SUBSTITUTE(E86,"TRESEMME","Tresemme"),"HEAD &amp; SHOULDERS","Head &amp; Shoulders"),"ELVIVE","Elvive"),"FRUCTIS","Fructis")))</f>
        <v/>
      </c>
      <c r="R86" s="4">
        <f>COUNTIF($D$2:$D$10000,D86)&gt;1</f>
        <v/>
      </c>
      <c r="S86" s="4">
        <f>IF(H86=TRUE,"Disponible","No disponible")</f>
        <v/>
      </c>
      <c r="T86" s="4">
        <f>IF(AND(ISNUMBER(I86),I86&gt;0),ROUND(F86/I86,2),"Sin volumen")</f>
        <v/>
      </c>
      <c r="U86" s="4">
        <f>IF(F86&lt;5000,"Bajo",IF(F86&lt;15000,"Medio","Alto"))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TRIM(CLEAN(PROPER(D88)))</f>
        <v/>
      </c>
      <c r="Q88" s="4">
        <f>PROPER(TRIM(SUBSTITUTE(SUBSTITUTE(SUBSTITUTE(SUBSTITUTE(E88,"TRESEMME","Tresemme"),"HEAD &amp; SHOULDERS","Head &amp; Shoulders"),"ELVIVE","Elvive"),"FRUCTIS","Fructis")))</f>
        <v/>
      </c>
      <c r="R88" s="4">
        <f>COUNTIF($D$2:$D$10000,D88)&gt;1</f>
        <v/>
      </c>
      <c r="S88" s="4">
        <f>IF(H88=TRUE,"Disponible","No disponible")</f>
        <v/>
      </c>
      <c r="T88" s="4">
        <f>IF(AND(ISNUMBER(I88),I88&gt;0),ROUND(F88/I88,2),"Sin volumen")</f>
        <v/>
      </c>
      <c r="U88" s="4">
        <f>IF(F88&lt;5000,"Bajo",IF(F88&lt;15000,"Medio","Alto"))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TRIM(CLEAN(PROPER(D90)))</f>
        <v/>
      </c>
      <c r="Q90" s="4">
        <f>PROPER(TRIM(SUBSTITUTE(SUBSTITUTE(SUBSTITUTE(SUBSTITUTE(E90,"TRESEMME","Tresemme"),"HEAD &amp; SHOULDERS","Head &amp; Shoulders"),"ELVIVE","Elvive"),"FRUCTIS","Fructis")))</f>
        <v/>
      </c>
      <c r="R90" s="4">
        <f>COUNTIF($D$2:$D$10000,D90)&gt;1</f>
        <v/>
      </c>
      <c r="S90" s="4">
        <f>IF(H90=TRUE,"Disponible","No disponible")</f>
        <v/>
      </c>
      <c r="T90" s="4">
        <f>IF(AND(ISNUMBER(I90),I90&gt;0),ROUND(F90/I90,2),"Sin volumen")</f>
        <v/>
      </c>
      <c r="U90" s="4">
        <f>IF(F90&lt;5000,"Bajo",IF(F90&lt;15000,"Medio","Alto"))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TRIM(CLEAN(PROPER(D92)))</f>
        <v/>
      </c>
      <c r="Q92" s="4">
        <f>PROPER(TRIM(SUBSTITUTE(SUBSTITUTE(SUBSTITUTE(SUBSTITUTE(E92,"TRESEMME","Tresemme"),"HEAD &amp; SHOULDERS","Head &amp; Shoulders"),"ELVIVE","Elvive"),"FRUCTIS","Fructis")))</f>
        <v/>
      </c>
      <c r="R92" s="4">
        <f>COUNTIF($D$2:$D$10000,D92)&gt;1</f>
        <v/>
      </c>
      <c r="S92" s="4">
        <f>IF(H92=TRUE,"Disponible","No disponible")</f>
        <v/>
      </c>
      <c r="T92" s="4">
        <f>IF(AND(ISNUMBER(I92),I92&gt;0),ROUND(F92/I92,2),"Sin volumen")</f>
        <v/>
      </c>
      <c r="U92" s="4">
        <f>IF(F92&lt;5000,"Bajo",IF(F92&lt;15000,"Medio","Alto"))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TRIM(CLEAN(PROPER(D94)))</f>
        <v/>
      </c>
      <c r="Q94" s="4">
        <f>PROPER(TRIM(SUBSTITUTE(SUBSTITUTE(SUBSTITUTE(SUBSTITUTE(E94,"TRESEMME","Tresemme"),"HEAD &amp; SHOULDERS","Head &amp; Shoulders"),"ELVIVE","Elvive"),"FRUCTIS","Fructis")))</f>
        <v/>
      </c>
      <c r="R94" s="4">
        <f>COUNTIF($D$2:$D$10000,D94)&gt;1</f>
        <v/>
      </c>
      <c r="S94" s="4">
        <f>IF(H94=TRUE,"Disponible","No disponible")</f>
        <v/>
      </c>
      <c r="T94" s="4">
        <f>IF(AND(ISNUMBER(I94),I94&gt;0),ROUND(F94/I94,2),"Sin volumen")</f>
        <v/>
      </c>
      <c r="U94" s="4">
        <f>IF(F94&lt;5000,"Bajo",IF(F94&lt;15000,"Medio","Alto"))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TRIM(CLEAN(PROPER(D96)))</f>
        <v/>
      </c>
      <c r="Q96" s="4">
        <f>PROPER(TRIM(SUBSTITUTE(SUBSTITUTE(SUBSTITUTE(SUBSTITUTE(E96,"TRESEMME","Tresemme"),"HEAD &amp; SHOULDERS","Head &amp; Shoulders"),"ELVIVE","Elvive"),"FRUCTIS","Fructis")))</f>
        <v/>
      </c>
      <c r="R96" s="4">
        <f>COUNTIF($D$2:$D$10000,D96)&gt;1</f>
        <v/>
      </c>
      <c r="S96" s="4">
        <f>IF(H96=TRUE,"Disponible","No disponible")</f>
        <v/>
      </c>
      <c r="T96" s="4">
        <f>IF(AND(ISNUMBER(I96),I96&gt;0),ROUND(F96/I96,2),"Sin volumen")</f>
        <v/>
      </c>
      <c r="U96" s="4">
        <f>IF(F96&lt;5000,"Bajo",IF(F96&lt;15000,"Medio","Alto"))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TRIM(CLEAN(PROPER(D98)))</f>
        <v/>
      </c>
      <c r="Q98" s="4">
        <f>PROPER(TRIM(SUBSTITUTE(SUBSTITUTE(SUBSTITUTE(SUBSTITUTE(E98,"TRESEMME","Tresemme"),"HEAD &amp; SHOULDERS","Head &amp; Shoulders"),"ELVIVE","Elvive"),"FRUCTIS","Fructis")))</f>
        <v/>
      </c>
      <c r="R98" s="4">
        <f>COUNTIF($D$2:$D$10000,D98)&gt;1</f>
        <v/>
      </c>
      <c r="S98" s="4">
        <f>IF(H98=TRUE,"Disponible","No disponible")</f>
        <v/>
      </c>
      <c r="T98" s="4">
        <f>IF(AND(ISNUMBER(I98),I98&gt;0),ROUND(F98/I98,2),"Sin volumen")</f>
        <v/>
      </c>
      <c r="U98" s="4">
        <f>IF(F98&lt;5000,"Bajo",IF(F98&lt;15000,"Medio","Alto"))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TRIM(CLEAN(PROPER(D100)))</f>
        <v/>
      </c>
      <c r="Q100" s="4">
        <f>PROPER(TRIM(SUBSTITUTE(SUBSTITUTE(SUBSTITUTE(SUBSTITUTE(E100,"TRESEMME","Tresemme"),"HEAD &amp; SHOULDERS","Head &amp; Shoulders"),"ELVIVE","Elvive"),"FRUCTIS","Fructis")))</f>
        <v/>
      </c>
      <c r="R100" s="4">
        <f>COUNTIF($D$2:$D$10000,D100)&gt;1</f>
        <v/>
      </c>
      <c r="S100" s="4">
        <f>IF(H100=TRUE,"Disponible","No disponible")</f>
        <v/>
      </c>
      <c r="T100" s="4">
        <f>IF(AND(ISNUMBER(I100),I100&gt;0),ROUND(F100/I100,2),"Sin volumen")</f>
        <v/>
      </c>
      <c r="U100" s="4">
        <f>IF(F100&lt;5000,"Bajo",IF(F100&lt;15000,"Medio","Alto"))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TRIM(CLEAN(PROPER(D102)))</f>
        <v/>
      </c>
      <c r="Q102" s="4">
        <f>PROPER(TRIM(SUBSTITUTE(SUBSTITUTE(SUBSTITUTE(SUBSTITUTE(E102,"TRESEMME","Tresemme"),"HEAD &amp; SHOULDERS","Head &amp; Shoulders"),"ELVIVE","Elvive"),"FRUCTIS","Fructis")))</f>
        <v/>
      </c>
      <c r="R102" s="4">
        <f>COUNTIF($D$2:$D$10000,D102)&gt;1</f>
        <v/>
      </c>
      <c r="S102" s="4">
        <f>IF(H102=TRUE,"Disponible","No disponible")</f>
        <v/>
      </c>
      <c r="T102" s="4">
        <f>IF(AND(ISNUMBER(I102),I102&gt;0),ROUND(F102/I102,2),"Sin volumen")</f>
        <v/>
      </c>
      <c r="U102" s="4">
        <f>IF(F102&lt;5000,"Bajo",IF(F102&lt;15000,"Medio","Alto"))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TRIM(CLEAN(PROPER(D104)))</f>
        <v/>
      </c>
      <c r="Q104" s="4">
        <f>PROPER(TRIM(SUBSTITUTE(SUBSTITUTE(SUBSTITUTE(SUBSTITUTE(E104,"TRESEMME","Tresemme"),"HEAD &amp; SHOULDERS","Head &amp; Shoulders"),"ELVIVE","Elvive"),"FRUCTIS","Fructis")))</f>
        <v/>
      </c>
      <c r="R104" s="4">
        <f>COUNTIF($D$2:$D$10000,D104)&gt;1</f>
        <v/>
      </c>
      <c r="S104" s="4">
        <f>IF(H104=TRUE,"Disponible","No disponible")</f>
        <v/>
      </c>
      <c r="T104" s="4">
        <f>IF(AND(ISNUMBER(I104),I104&gt;0),ROUND(F104/I104,2),"Sin volumen")</f>
        <v/>
      </c>
      <c r="U104" s="4">
        <f>IF(F104&lt;5000,"Bajo",IF(F104&lt;15000,"Medio","Alto"))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TRIM(CLEAN(PROPER(D106)))</f>
        <v/>
      </c>
      <c r="Q106" s="4">
        <f>PROPER(TRIM(SUBSTITUTE(SUBSTITUTE(SUBSTITUTE(SUBSTITUTE(E106,"TRESEMME","Tresemme"),"HEAD &amp; SHOULDERS","Head &amp; Shoulders"),"ELVIVE","Elvive"),"FRUCTIS","Fructis")))</f>
        <v/>
      </c>
      <c r="R106" s="4">
        <f>COUNTIF($D$2:$D$10000,D106)&gt;1</f>
        <v/>
      </c>
      <c r="S106" s="4">
        <f>IF(H106=TRUE,"Disponible","No disponible")</f>
        <v/>
      </c>
      <c r="T106" s="4">
        <f>IF(AND(ISNUMBER(I106),I106&gt;0),ROUND(F106/I106,2),"Sin volumen")</f>
        <v/>
      </c>
      <c r="U106" s="4">
        <f>IF(F106&lt;5000,"Bajo",IF(F106&lt;15000,"Medio","Alto"))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TRIM(CLEAN(PROPER(D108)))</f>
        <v/>
      </c>
      <c r="Q108" s="4">
        <f>PROPER(TRIM(SUBSTITUTE(SUBSTITUTE(SUBSTITUTE(SUBSTITUTE(E108,"TRESEMME","Tresemme"),"HEAD &amp; SHOULDERS","Head &amp; Shoulders"),"ELVIVE","Elvive"),"FRUCTIS","Fructis")))</f>
        <v/>
      </c>
      <c r="R108" s="4">
        <f>COUNTIF($D$2:$D$10000,D108)&gt;1</f>
        <v/>
      </c>
      <c r="S108" s="4">
        <f>IF(H108=TRUE,"Disponible","No disponible")</f>
        <v/>
      </c>
      <c r="T108" s="4">
        <f>IF(AND(ISNUMBER(I108),I108&gt;0),ROUND(F108/I108,2),"Sin volumen")</f>
        <v/>
      </c>
      <c r="U108" s="4">
        <f>IF(F108&lt;5000,"Bajo",IF(F108&lt;15000,"Medio","Alto"))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TRIM(CLEAN(PROPER(D110)))</f>
        <v/>
      </c>
      <c r="Q110" s="4">
        <f>PROPER(TRIM(SUBSTITUTE(SUBSTITUTE(SUBSTITUTE(SUBSTITUTE(E110,"TRESEMME","Tresemme"),"HEAD &amp; SHOULDERS","Head &amp; Shoulders"),"ELVIVE","Elvive"),"FRUCTIS","Fructis")))</f>
        <v/>
      </c>
      <c r="R110" s="4">
        <f>COUNTIF($D$2:$D$10000,D110)&gt;1</f>
        <v/>
      </c>
      <c r="S110" s="4">
        <f>IF(H110=TRUE,"Disponible","No disponible")</f>
        <v/>
      </c>
      <c r="T110" s="4">
        <f>IF(AND(ISNUMBER(I110),I110&gt;0),ROUND(F110/I110,2),"Sin volumen")</f>
        <v/>
      </c>
      <c r="U110" s="4">
        <f>IF(F110&lt;5000,"Bajo",IF(F110&lt;15000,"Medio","Alto"))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TRIM(CLEAN(PROPER(D112)))</f>
        <v/>
      </c>
      <c r="Q112" s="4">
        <f>PROPER(TRIM(SUBSTITUTE(SUBSTITUTE(SUBSTITUTE(SUBSTITUTE(E112,"TRESEMME","Tresemme"),"HEAD &amp; SHOULDERS","Head &amp; Shoulders"),"ELVIVE","Elvive"),"FRUCTIS","Fructis")))</f>
        <v/>
      </c>
      <c r="R112" s="4">
        <f>COUNTIF($D$2:$D$10000,D112)&gt;1</f>
        <v/>
      </c>
      <c r="S112" s="4">
        <f>IF(H112=TRUE,"Disponible","No disponible")</f>
        <v/>
      </c>
      <c r="T112" s="4">
        <f>IF(AND(ISNUMBER(I112),I112&gt;0),ROUND(F112/I112,2),"Sin volumen")</f>
        <v/>
      </c>
      <c r="U112" s="4">
        <f>IF(F112&lt;5000,"Bajo",IF(F112&lt;15000,"Medio","Alto"))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TRIM(CLEAN(PROPER(D114)))</f>
        <v/>
      </c>
      <c r="Q114" s="4">
        <f>PROPER(TRIM(SUBSTITUTE(SUBSTITUTE(SUBSTITUTE(SUBSTITUTE(E114,"TRESEMME","Tresemme"),"HEAD &amp; SHOULDERS","Head &amp; Shoulders"),"ELVIVE","Elvive"),"FRUCTIS","Fructis")))</f>
        <v/>
      </c>
      <c r="R114" s="4">
        <f>COUNTIF($D$2:$D$10000,D114)&gt;1</f>
        <v/>
      </c>
      <c r="S114" s="4">
        <f>IF(H114=TRUE,"Disponible","No disponible")</f>
        <v/>
      </c>
      <c r="T114" s="4">
        <f>IF(AND(ISNUMBER(I114),I114&gt;0),ROUND(F114/I114,2),"Sin volumen")</f>
        <v/>
      </c>
      <c r="U114" s="4">
        <f>IF(F114&lt;5000,"Bajo",IF(F114&lt;15000,"Medio","Alto"))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TRIM(CLEAN(PROPER(D116)))</f>
        <v/>
      </c>
      <c r="Q116" s="4">
        <f>PROPER(TRIM(SUBSTITUTE(SUBSTITUTE(SUBSTITUTE(SUBSTITUTE(E116,"TRESEMME","Tresemme"),"HEAD &amp; SHOULDERS","Head &amp; Shoulders"),"ELVIVE","Elvive"),"FRUCTIS","Fructis")))</f>
        <v/>
      </c>
      <c r="R116" s="4">
        <f>COUNTIF($D$2:$D$10000,D116)&gt;1</f>
        <v/>
      </c>
      <c r="S116" s="4">
        <f>IF(H116=TRUE,"Disponible","No disponible")</f>
        <v/>
      </c>
      <c r="T116" s="4">
        <f>IF(AND(ISNUMBER(I116),I116&gt;0),ROUND(F116/I116,2),"Sin volumen")</f>
        <v/>
      </c>
      <c r="U116" s="4">
        <f>IF(F116&lt;5000,"Bajo",IF(F116&lt;15000,"Medio","Alto"))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TRIM(CLEAN(PROPER(D118)))</f>
        <v/>
      </c>
      <c r="Q118" s="4">
        <f>PROPER(TRIM(SUBSTITUTE(SUBSTITUTE(SUBSTITUTE(SUBSTITUTE(E118,"TRESEMME","Tresemme"),"HEAD &amp; SHOULDERS","Head &amp; Shoulders"),"ELVIVE","Elvive"),"FRUCTIS","Fructis")))</f>
        <v/>
      </c>
      <c r="R118" s="4">
        <f>COUNTIF($D$2:$D$10000,D118)&gt;1</f>
        <v/>
      </c>
      <c r="S118" s="4">
        <f>IF(H118=TRUE,"Disponible","No disponible")</f>
        <v/>
      </c>
      <c r="T118" s="4">
        <f>IF(AND(ISNUMBER(I118),I118&gt;0),ROUND(F118/I118,2),"Sin volumen")</f>
        <v/>
      </c>
      <c r="U118" s="4">
        <f>IF(F118&lt;5000,"Bajo",IF(F118&lt;15000,"Medio","Alto"))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TRIM(CLEAN(PROPER(D120)))</f>
        <v/>
      </c>
      <c r="Q120" s="4">
        <f>PROPER(TRIM(SUBSTITUTE(SUBSTITUTE(SUBSTITUTE(SUBSTITUTE(E120,"TRESEMME","Tresemme"),"HEAD &amp; SHOULDERS","Head &amp; Shoulders"),"ELVIVE","Elvive"),"FRUCTIS","Fructis")))</f>
        <v/>
      </c>
      <c r="R120" s="4">
        <f>COUNTIF($D$2:$D$10000,D120)&gt;1</f>
        <v/>
      </c>
      <c r="S120" s="4">
        <f>IF(H120=TRUE,"Disponible","No disponible")</f>
        <v/>
      </c>
      <c r="T120" s="4">
        <f>IF(AND(ISNUMBER(I120),I120&gt;0),ROUND(F120/I120,2),"Sin volumen")</f>
        <v/>
      </c>
      <c r="U120" s="4">
        <f>IF(F120&lt;5000,"Bajo",IF(F120&lt;15000,"Medio","Alto"))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TRIM(CLEAN(PROPER(D122)))</f>
        <v/>
      </c>
      <c r="Q122" s="4">
        <f>PROPER(TRIM(SUBSTITUTE(SUBSTITUTE(SUBSTITUTE(SUBSTITUTE(E122,"TRESEMME","Tresemme"),"HEAD &amp; SHOULDERS","Head &amp; Shoulders"),"ELVIVE","Elvive"),"FRUCTIS","Fructis")))</f>
        <v/>
      </c>
      <c r="R122" s="4">
        <f>COUNTIF($D$2:$D$10000,D122)&gt;1</f>
        <v/>
      </c>
      <c r="S122" s="4">
        <f>IF(H122=TRUE,"Disponible","No disponible")</f>
        <v/>
      </c>
      <c r="T122" s="4">
        <f>IF(AND(ISNUMBER(I122),I122&gt;0),ROUND(F122/I122,2),"Sin volumen")</f>
        <v/>
      </c>
      <c r="U122" s="4">
        <f>IF(F122&lt;5000,"Bajo",IF(F122&lt;15000,"Medio","Alto"))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TRIM(CLEAN(PROPER(D124)))</f>
        <v/>
      </c>
      <c r="Q124" s="4">
        <f>PROPER(TRIM(SUBSTITUTE(SUBSTITUTE(SUBSTITUTE(SUBSTITUTE(E124,"TRESEMME","Tresemme"),"HEAD &amp; SHOULDERS","Head &amp; Shoulders"),"ELVIVE","Elvive"),"FRUCTIS","Fructis")))</f>
        <v/>
      </c>
      <c r="R124" s="4">
        <f>COUNTIF($D$2:$D$10000,D124)&gt;1</f>
        <v/>
      </c>
      <c r="S124" s="4">
        <f>IF(H124=TRUE,"Disponible","No disponible")</f>
        <v/>
      </c>
      <c r="T124" s="4">
        <f>IF(AND(ISNUMBER(I124),I124&gt;0),ROUND(F124/I124,2),"Sin volumen")</f>
        <v/>
      </c>
      <c r="U124" s="4">
        <f>IF(F124&lt;5000,"Bajo",IF(F124&lt;15000,"Medio","Alto"))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TRIM(CLEAN(PROPER(D126)))</f>
        <v/>
      </c>
      <c r="Q126" s="4">
        <f>PROPER(TRIM(SUBSTITUTE(SUBSTITUTE(SUBSTITUTE(SUBSTITUTE(E126,"TRESEMME","Tresemme"),"HEAD &amp; SHOULDERS","Head &amp; Shoulders"),"ELVIVE","Elvive"),"FRUCTIS","Fructis")))</f>
        <v/>
      </c>
      <c r="R126" s="4">
        <f>COUNTIF($D$2:$D$10000,D126)&gt;1</f>
        <v/>
      </c>
      <c r="S126" s="4">
        <f>IF(H126=TRUE,"Disponible","No disponible")</f>
        <v/>
      </c>
      <c r="T126" s="4">
        <f>IF(AND(ISNUMBER(I126),I126&gt;0),ROUND(F126/I126,2),"Sin volumen")</f>
        <v/>
      </c>
      <c r="U126" s="4">
        <f>IF(F126&lt;5000,"Bajo",IF(F126&lt;15000,"Medio","Alto"))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TRIM(CLEAN(PROPER(D128)))</f>
        <v/>
      </c>
      <c r="Q128" s="4">
        <f>PROPER(TRIM(SUBSTITUTE(SUBSTITUTE(SUBSTITUTE(SUBSTITUTE(E128,"TRESEMME","Tresemme"),"HEAD &amp; SHOULDERS","Head &amp; Shoulders"),"ELVIVE","Elvive"),"FRUCTIS","Fructis")))</f>
        <v/>
      </c>
      <c r="R128" s="4">
        <f>COUNTIF($D$2:$D$10000,D128)&gt;1</f>
        <v/>
      </c>
      <c r="S128" s="4">
        <f>IF(H128=TRUE,"Disponible","No disponible")</f>
        <v/>
      </c>
      <c r="T128" s="4">
        <f>IF(AND(ISNUMBER(I128),I128&gt;0),ROUND(F128/I128,2),"Sin volumen")</f>
        <v/>
      </c>
      <c r="U128" s="4">
        <f>IF(F128&lt;5000,"Bajo",IF(F128&lt;15000,"Medio","Alto"))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TRIM(CLEAN(PROPER(D130)))</f>
        <v/>
      </c>
      <c r="Q130" s="4">
        <f>PROPER(TRIM(SUBSTITUTE(SUBSTITUTE(SUBSTITUTE(SUBSTITUTE(E130,"TRESEMME","Tresemme"),"HEAD &amp; SHOULDERS","Head &amp; Shoulders"),"ELVIVE","Elvive"),"FRUCTIS","Fructis")))</f>
        <v/>
      </c>
      <c r="R130" s="4">
        <f>COUNTIF($D$2:$D$10000,D130)&gt;1</f>
        <v/>
      </c>
      <c r="S130" s="4">
        <f>IF(H130=TRUE,"Disponible","No disponible")</f>
        <v/>
      </c>
      <c r="T130" s="4">
        <f>IF(AND(ISNUMBER(I130),I130&gt;0),ROUND(F130/I130,2),"Sin volumen")</f>
        <v/>
      </c>
      <c r="U130" s="4">
        <f>IF(F130&lt;5000,"Bajo",IF(F130&lt;15000,"Medio","Alto"))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TRIM(CLEAN(PROPER(D132)))</f>
        <v/>
      </c>
      <c r="Q132" s="4">
        <f>PROPER(TRIM(SUBSTITUTE(SUBSTITUTE(SUBSTITUTE(SUBSTITUTE(E132,"TRESEMME","Tresemme"),"HEAD &amp; SHOULDERS","Head &amp; Shoulders"),"ELVIVE","Elvive"),"FRUCTIS","Fructis")))</f>
        <v/>
      </c>
      <c r="R132" s="4">
        <f>COUNTIF($D$2:$D$10000,D132)&gt;1</f>
        <v/>
      </c>
      <c r="S132" s="4">
        <f>IF(H132=TRUE,"Disponible","No disponible")</f>
        <v/>
      </c>
      <c r="T132" s="4">
        <f>IF(AND(ISNUMBER(I132),I132&gt;0),ROUND(F132/I132,2),"Sin volumen")</f>
        <v/>
      </c>
      <c r="U132" s="4">
        <f>IF(F132&lt;5000,"Bajo",IF(F132&lt;15000,"Medio","Alto"))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TRIM(CLEAN(PROPER(D134)))</f>
        <v/>
      </c>
      <c r="Q134" s="4">
        <f>PROPER(TRIM(SUBSTITUTE(SUBSTITUTE(SUBSTITUTE(SUBSTITUTE(E134,"TRESEMME","Tresemme"),"HEAD &amp; SHOULDERS","Head &amp; Shoulders"),"ELVIVE","Elvive"),"FRUCTIS","Fructis")))</f>
        <v/>
      </c>
      <c r="R134" s="4">
        <f>COUNTIF($D$2:$D$10000,D134)&gt;1</f>
        <v/>
      </c>
      <c r="S134" s="4">
        <f>IF(H134=TRUE,"Disponible","No disponible")</f>
        <v/>
      </c>
      <c r="T134" s="4">
        <f>IF(AND(ISNUMBER(I134),I134&gt;0),ROUND(F134/I134,2),"Sin volumen")</f>
        <v/>
      </c>
      <c r="U134" s="4">
        <f>IF(F134&lt;5000,"Bajo",IF(F134&lt;15000,"Medio","Alto"))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TRIM(CLEAN(PROPER(D136)))</f>
        <v/>
      </c>
      <c r="Q136" s="4">
        <f>PROPER(TRIM(SUBSTITUTE(SUBSTITUTE(SUBSTITUTE(SUBSTITUTE(E136,"TRESEMME","Tresemme"),"HEAD &amp; SHOULDERS","Head &amp; Shoulders"),"ELVIVE","Elvive"),"FRUCTIS","Fructis")))</f>
        <v/>
      </c>
      <c r="R136" s="4">
        <f>COUNTIF($D$2:$D$10000,D136)&gt;1</f>
        <v/>
      </c>
      <c r="S136" s="4">
        <f>IF(H136=TRUE,"Disponible","No disponible")</f>
        <v/>
      </c>
      <c r="T136" s="4">
        <f>IF(AND(ISNUMBER(I136),I136&gt;0),ROUND(F136/I136,2),"Sin volumen")</f>
        <v/>
      </c>
      <c r="U136" s="4">
        <f>IF(F136&lt;5000,"Bajo",IF(F136&lt;15000,"Medio","Alto"))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TRIM(CLEAN(PROPER(D138)))</f>
        <v/>
      </c>
      <c r="Q138" s="4">
        <f>PROPER(TRIM(SUBSTITUTE(SUBSTITUTE(SUBSTITUTE(SUBSTITUTE(E138,"TRESEMME","Tresemme"),"HEAD &amp; SHOULDERS","Head &amp; Shoulders"),"ELVIVE","Elvive"),"FRUCTIS","Fructis")))</f>
        <v/>
      </c>
      <c r="R138" s="4">
        <f>COUNTIF($D$2:$D$10000,D138)&gt;1</f>
        <v/>
      </c>
      <c r="S138" s="4">
        <f>IF(H138=TRUE,"Disponible","No disponible")</f>
        <v/>
      </c>
      <c r="T138" s="4">
        <f>IF(AND(ISNUMBER(I138),I138&gt;0),ROUND(F138/I138,2),"Sin volumen")</f>
        <v/>
      </c>
      <c r="U138" s="4">
        <f>IF(F138&lt;5000,"Bajo",IF(F138&lt;15000,"Medio","Alto"))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TRIM(CLEAN(PROPER(D140)))</f>
        <v/>
      </c>
      <c r="Q140" s="4">
        <f>PROPER(TRIM(SUBSTITUTE(SUBSTITUTE(SUBSTITUTE(SUBSTITUTE(E140,"TRESEMME","Tresemme"),"HEAD &amp; SHOULDERS","Head &amp; Shoulders"),"ELVIVE","Elvive"),"FRUCTIS","Fructis")))</f>
        <v/>
      </c>
      <c r="R140" s="4">
        <f>COUNTIF($D$2:$D$10000,D140)&gt;1</f>
        <v/>
      </c>
      <c r="S140" s="4">
        <f>IF(H140=TRUE,"Disponible","No disponible")</f>
        <v/>
      </c>
      <c r="T140" s="4">
        <f>IF(AND(ISNUMBER(I140),I140&gt;0),ROUND(F140/I140,2),"Sin volumen")</f>
        <v/>
      </c>
      <c r="U140" s="4">
        <f>IF(F140&lt;5000,"Bajo",IF(F140&lt;15000,"Medio","Alto"))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TRIM(CLEAN(PROPER(D142)))</f>
        <v/>
      </c>
      <c r="Q142" s="4">
        <f>PROPER(TRIM(SUBSTITUTE(SUBSTITUTE(SUBSTITUTE(SUBSTITUTE(E142,"TRESEMME","Tresemme"),"HEAD &amp; SHOULDERS","Head &amp; Shoulders"),"ELVIVE","Elvive"),"FRUCTIS","Fructis")))</f>
        <v/>
      </c>
      <c r="R142" s="4">
        <f>COUNTIF($D$2:$D$10000,D142)&gt;1</f>
        <v/>
      </c>
      <c r="S142" s="4">
        <f>IF(H142=TRUE,"Disponible","No disponible")</f>
        <v/>
      </c>
      <c r="T142" s="4">
        <f>IF(AND(ISNUMBER(I142),I142&gt;0),ROUND(F142/I142,2),"Sin volumen")</f>
        <v/>
      </c>
      <c r="U142" s="4">
        <f>IF(F142&lt;5000,"Bajo",IF(F142&lt;15000,"Medio","Alto"))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TRIM(CLEAN(PROPER(D144)))</f>
        <v/>
      </c>
      <c r="Q144" s="4">
        <f>PROPER(TRIM(SUBSTITUTE(SUBSTITUTE(SUBSTITUTE(SUBSTITUTE(E144,"TRESEMME","Tresemme"),"HEAD &amp; SHOULDERS","Head &amp; Shoulders"),"ELVIVE","Elvive"),"FRUCTIS","Fructis")))</f>
        <v/>
      </c>
      <c r="R144" s="4">
        <f>COUNTIF($D$2:$D$10000,D144)&gt;1</f>
        <v/>
      </c>
      <c r="S144" s="4">
        <f>IF(H144=TRUE,"Disponible","No disponible")</f>
        <v/>
      </c>
      <c r="T144" s="4">
        <f>IF(AND(ISNUMBER(I144),I144&gt;0),ROUND(F144/I144,2),"Sin volumen")</f>
        <v/>
      </c>
      <c r="U144" s="4">
        <f>IF(F144&lt;5000,"Bajo",IF(F144&lt;15000,"Medio","Alto"))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TRIM(CLEAN(PROPER(D146)))</f>
        <v/>
      </c>
      <c r="Q146" s="4">
        <f>PROPER(TRIM(SUBSTITUTE(SUBSTITUTE(SUBSTITUTE(SUBSTITUTE(E146,"TRESEMME","Tresemme"),"HEAD &amp; SHOULDERS","Head &amp; Shoulders"),"ELVIVE","Elvive"),"FRUCTIS","Fructis")))</f>
        <v/>
      </c>
      <c r="R146" s="4">
        <f>COUNTIF($D$2:$D$10000,D146)&gt;1</f>
        <v/>
      </c>
      <c r="S146" s="4">
        <f>IF(H146=TRUE,"Disponible","No disponible")</f>
        <v/>
      </c>
      <c r="T146" s="4">
        <f>IF(AND(ISNUMBER(I146),I146&gt;0),ROUND(F146/I146,2),"Sin volumen")</f>
        <v/>
      </c>
      <c r="U146" s="4">
        <f>IF(F146&lt;5000,"Bajo",IF(F146&lt;15000,"Medio","Alto"))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TRIM(CLEAN(PROPER(D148)))</f>
        <v/>
      </c>
      <c r="Q148" s="4">
        <f>PROPER(TRIM(SUBSTITUTE(SUBSTITUTE(SUBSTITUTE(SUBSTITUTE(E148,"TRESEMME","Tresemme"),"HEAD &amp; SHOULDERS","Head &amp; Shoulders"),"ELVIVE","Elvive"),"FRUCTIS","Fructis")))</f>
        <v/>
      </c>
      <c r="R148" s="4">
        <f>COUNTIF($D$2:$D$10000,D148)&gt;1</f>
        <v/>
      </c>
      <c r="S148" s="4">
        <f>IF(H148=TRUE,"Disponible","No disponible")</f>
        <v/>
      </c>
      <c r="T148" s="4">
        <f>IF(AND(ISNUMBER(I148),I148&gt;0),ROUND(F148/I148,2),"Sin volumen")</f>
        <v/>
      </c>
      <c r="U148" s="4">
        <f>IF(F148&lt;5000,"Bajo",IF(F148&lt;15000,"Medio","Alto"))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TRIM(CLEAN(PROPER(D150)))</f>
        <v/>
      </c>
      <c r="Q150" s="4">
        <f>PROPER(TRIM(SUBSTITUTE(SUBSTITUTE(SUBSTITUTE(SUBSTITUTE(E150,"TRESEMME","Tresemme"),"HEAD &amp; SHOULDERS","Head &amp; Shoulders"),"ELVIVE","Elvive"),"FRUCTIS","Fructis")))</f>
        <v/>
      </c>
      <c r="R150" s="4">
        <f>COUNTIF($D$2:$D$10000,D150)&gt;1</f>
        <v/>
      </c>
      <c r="S150" s="4">
        <f>IF(H150=TRUE,"Disponible","No disponible")</f>
        <v/>
      </c>
      <c r="T150" s="4">
        <f>IF(AND(ISNUMBER(I150),I150&gt;0),ROUND(F150/I150,2),"Sin volumen")</f>
        <v/>
      </c>
      <c r="U150" s="4">
        <f>IF(F150&lt;5000,"Bajo",IF(F150&lt;15000,"Medio","Alto"))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TRIM(CLEAN(PROPER(D152)))</f>
        <v/>
      </c>
      <c r="Q152" s="4">
        <f>PROPER(TRIM(SUBSTITUTE(SUBSTITUTE(SUBSTITUTE(SUBSTITUTE(E152,"TRESEMME","Tresemme"),"HEAD &amp; SHOULDERS","Head &amp; Shoulders"),"ELVIVE","Elvive"),"FRUCTIS","Fructis")))</f>
        <v/>
      </c>
      <c r="R152" s="4">
        <f>COUNTIF($D$2:$D$10000,D152)&gt;1</f>
        <v/>
      </c>
      <c r="S152" s="4">
        <f>IF(H152=TRUE,"Disponible","No disponible")</f>
        <v/>
      </c>
      <c r="T152" s="4">
        <f>IF(AND(ISNUMBER(I152),I152&gt;0),ROUND(F152/I152,2),"Sin volumen")</f>
        <v/>
      </c>
      <c r="U152" s="4">
        <f>IF(F152&lt;5000,"Bajo",IF(F152&lt;15000,"Medio","Alto"))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TRIM(CLEAN(PROPER(D154)))</f>
        <v/>
      </c>
      <c r="Q154" s="4">
        <f>PROPER(TRIM(SUBSTITUTE(SUBSTITUTE(SUBSTITUTE(SUBSTITUTE(E154,"TRESEMME","Tresemme"),"HEAD &amp; SHOULDERS","Head &amp; Shoulders"),"ELVIVE","Elvive"),"FRUCTIS","Fructis")))</f>
        <v/>
      </c>
      <c r="R154" s="4">
        <f>COUNTIF($D$2:$D$10000,D154)&gt;1</f>
        <v/>
      </c>
      <c r="S154" s="4">
        <f>IF(H154=TRUE,"Disponible","No disponible")</f>
        <v/>
      </c>
      <c r="T154" s="4">
        <f>IF(AND(ISNUMBER(I154),I154&gt;0),ROUND(F154/I154,2),"Sin volumen")</f>
        <v/>
      </c>
      <c r="U154" s="4">
        <f>IF(F154&lt;5000,"Bajo",IF(F154&lt;15000,"Medio","Alto"))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TRIM(CLEAN(PROPER(D156)))</f>
        <v/>
      </c>
      <c r="Q156" s="4">
        <f>PROPER(TRIM(SUBSTITUTE(SUBSTITUTE(SUBSTITUTE(SUBSTITUTE(E156,"TRESEMME","Tresemme"),"HEAD &amp; SHOULDERS","Head &amp; Shoulders"),"ELVIVE","Elvive"),"FRUCTIS","Fructis")))</f>
        <v/>
      </c>
      <c r="R156" s="4">
        <f>COUNTIF($D$2:$D$10000,D156)&gt;1</f>
        <v/>
      </c>
      <c r="S156" s="4">
        <f>IF(H156=TRUE,"Disponible","No disponible")</f>
        <v/>
      </c>
      <c r="T156" s="4">
        <f>IF(AND(ISNUMBER(I156),I156&gt;0),ROUND(F156/I156,2),"Sin volumen")</f>
        <v/>
      </c>
      <c r="U156" s="4">
        <f>IF(F156&lt;5000,"Bajo",IF(F156&lt;15000,"Medio","Alto"))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TRIM(CLEAN(PROPER(D158)))</f>
        <v/>
      </c>
      <c r="Q158" s="4">
        <f>PROPER(TRIM(SUBSTITUTE(SUBSTITUTE(SUBSTITUTE(SUBSTITUTE(E158,"TRESEMME","Tresemme"),"HEAD &amp; SHOULDERS","Head &amp; Shoulders"),"ELVIVE","Elvive"),"FRUCTIS","Fructis")))</f>
        <v/>
      </c>
      <c r="R158" s="4">
        <f>COUNTIF($D$2:$D$10000,D158)&gt;1</f>
        <v/>
      </c>
      <c r="S158" s="4">
        <f>IF(H158=TRUE,"Disponible","No disponible")</f>
        <v/>
      </c>
      <c r="T158" s="4">
        <f>IF(AND(ISNUMBER(I158),I158&gt;0),ROUND(F158/I158,2),"Sin volumen")</f>
        <v/>
      </c>
      <c r="U158" s="4">
        <f>IF(F158&lt;5000,"Bajo",IF(F158&lt;15000,"Medio","Alto"))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TRIM(CLEAN(PROPER(D160)))</f>
        <v/>
      </c>
      <c r="Q160" s="4">
        <f>PROPER(TRIM(SUBSTITUTE(SUBSTITUTE(SUBSTITUTE(SUBSTITUTE(E160,"TRESEMME","Tresemme"),"HEAD &amp; SHOULDERS","Head &amp; Shoulders"),"ELVIVE","Elvive"),"FRUCTIS","Fructis")))</f>
        <v/>
      </c>
      <c r="R160" s="4">
        <f>COUNTIF($D$2:$D$10000,D160)&gt;1</f>
        <v/>
      </c>
      <c r="S160" s="4">
        <f>IF(H160=TRUE,"Disponible","No disponible")</f>
        <v/>
      </c>
      <c r="T160" s="4">
        <f>IF(AND(ISNUMBER(I160),I160&gt;0),ROUND(F160/I160,2),"Sin volumen")</f>
        <v/>
      </c>
      <c r="U160" s="4">
        <f>IF(F160&lt;5000,"Bajo",IF(F160&lt;15000,"Medio","Alto"))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TRIM(CLEAN(PROPER(D162)))</f>
        <v/>
      </c>
      <c r="Q162" s="4">
        <f>PROPER(TRIM(SUBSTITUTE(SUBSTITUTE(SUBSTITUTE(SUBSTITUTE(E162,"TRESEMME","Tresemme"),"HEAD &amp; SHOULDERS","Head &amp; Shoulders"),"ELVIVE","Elvive"),"FRUCTIS","Fructis")))</f>
        <v/>
      </c>
      <c r="R162" s="4">
        <f>COUNTIF($D$2:$D$10000,D162)&gt;1</f>
        <v/>
      </c>
      <c r="S162" s="4">
        <f>IF(H162=TRUE,"Disponible","No disponible")</f>
        <v/>
      </c>
      <c r="T162" s="4">
        <f>IF(AND(ISNUMBER(I162),I162&gt;0),ROUND(F162/I162,2),"Sin volumen")</f>
        <v/>
      </c>
      <c r="U162" s="4">
        <f>IF(F162&lt;5000,"Bajo",IF(F162&lt;15000,"Medio","Alto"))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TRIM(CLEAN(PROPER(D164)))</f>
        <v/>
      </c>
      <c r="Q164" s="4">
        <f>PROPER(TRIM(SUBSTITUTE(SUBSTITUTE(SUBSTITUTE(SUBSTITUTE(E164,"TRESEMME","Tresemme"),"HEAD &amp; SHOULDERS","Head &amp; Shoulders"),"ELVIVE","Elvive"),"FRUCTIS","Fructis")))</f>
        <v/>
      </c>
      <c r="R164" s="4">
        <f>COUNTIF($D$2:$D$10000,D164)&gt;1</f>
        <v/>
      </c>
      <c r="S164" s="4">
        <f>IF(H164=TRUE,"Disponible","No disponible")</f>
        <v/>
      </c>
      <c r="T164" s="4">
        <f>IF(AND(ISNUMBER(I164),I164&gt;0),ROUND(F164/I164,2),"Sin volumen")</f>
        <v/>
      </c>
      <c r="U164" s="4">
        <f>IF(F164&lt;5000,"Bajo",IF(F164&lt;15000,"Medio","Alto"))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TRIM(CLEAN(PROPER(D166)))</f>
        <v/>
      </c>
      <c r="Q166" s="4">
        <f>PROPER(TRIM(SUBSTITUTE(SUBSTITUTE(SUBSTITUTE(SUBSTITUTE(E166,"TRESEMME","Tresemme"),"HEAD &amp; SHOULDERS","Head &amp; Shoulders"),"ELVIVE","Elvive"),"FRUCTIS","Fructis")))</f>
        <v/>
      </c>
      <c r="R166" s="4">
        <f>COUNTIF($D$2:$D$10000,D166)&gt;1</f>
        <v/>
      </c>
      <c r="S166" s="4">
        <f>IF(H166=TRUE,"Disponible","No disponible")</f>
        <v/>
      </c>
      <c r="T166" s="4">
        <f>IF(AND(ISNUMBER(I166),I166&gt;0),ROUND(F166/I166,2),"Sin volumen")</f>
        <v/>
      </c>
      <c r="U166" s="4">
        <f>IF(F166&lt;5000,"Bajo",IF(F166&lt;15000,"Medio","Alto"))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TRIM(CLEAN(PROPER(D168)))</f>
        <v/>
      </c>
      <c r="Q168" s="4">
        <f>PROPER(TRIM(SUBSTITUTE(SUBSTITUTE(SUBSTITUTE(SUBSTITUTE(E168,"TRESEMME","Tresemme"),"HEAD &amp; SHOULDERS","Head &amp; Shoulders"),"ELVIVE","Elvive"),"FRUCTIS","Fructis")))</f>
        <v/>
      </c>
      <c r="R168" s="4">
        <f>COUNTIF($D$2:$D$10000,D168)&gt;1</f>
        <v/>
      </c>
      <c r="S168" s="4">
        <f>IF(H168=TRUE,"Disponible","No disponible")</f>
        <v/>
      </c>
      <c r="T168" s="4">
        <f>IF(AND(ISNUMBER(I168),I168&gt;0),ROUND(F168/I168,2),"Sin volumen")</f>
        <v/>
      </c>
      <c r="U168" s="4">
        <f>IF(F168&lt;5000,"Bajo",IF(F168&lt;15000,"Medio","Alto"))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TRIM(CLEAN(PROPER(D170)))</f>
        <v/>
      </c>
      <c r="Q170" s="4">
        <f>PROPER(TRIM(SUBSTITUTE(SUBSTITUTE(SUBSTITUTE(SUBSTITUTE(E170,"TRESEMME","Tresemme"),"HEAD &amp; SHOULDERS","Head &amp; Shoulders"),"ELVIVE","Elvive"),"FRUCTIS","Fructis")))</f>
        <v/>
      </c>
      <c r="R170" s="4">
        <f>COUNTIF($D$2:$D$10000,D170)&gt;1</f>
        <v/>
      </c>
      <c r="S170" s="4">
        <f>IF(H170=TRUE,"Disponible","No disponible")</f>
        <v/>
      </c>
      <c r="T170" s="4">
        <f>IF(AND(ISNUMBER(I170),I170&gt;0),ROUND(F170/I170,2),"Sin volumen")</f>
        <v/>
      </c>
      <c r="U170" s="4">
        <f>IF(F170&lt;5000,"Bajo",IF(F170&lt;15000,"Medio","Alto"))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TRIM(CLEAN(PROPER(D172)))</f>
        <v/>
      </c>
      <c r="Q172" s="4">
        <f>PROPER(TRIM(SUBSTITUTE(SUBSTITUTE(SUBSTITUTE(SUBSTITUTE(E172,"TRESEMME","Tresemme"),"HEAD &amp; SHOULDERS","Head &amp; Shoulders"),"ELVIVE","Elvive"),"FRUCTIS","Fructis")))</f>
        <v/>
      </c>
      <c r="R172" s="4">
        <f>COUNTIF($D$2:$D$10000,D172)&gt;1</f>
        <v/>
      </c>
      <c r="S172" s="4">
        <f>IF(H172=TRUE,"Disponible","No disponible")</f>
        <v/>
      </c>
      <c r="T172" s="4">
        <f>IF(AND(ISNUMBER(I172),I172&gt;0),ROUND(F172/I172,2),"Sin volumen")</f>
        <v/>
      </c>
      <c r="U172" s="4">
        <f>IF(F172&lt;5000,"Bajo",IF(F172&lt;15000,"Medio","Alto"))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TRIM(CLEAN(PROPER(D174)))</f>
        <v/>
      </c>
      <c r="Q174" s="4">
        <f>PROPER(TRIM(SUBSTITUTE(SUBSTITUTE(SUBSTITUTE(SUBSTITUTE(E174,"TRESEMME","Tresemme"),"HEAD &amp; SHOULDERS","Head &amp; Shoulders"),"ELVIVE","Elvive"),"FRUCTIS","Fructis")))</f>
        <v/>
      </c>
      <c r="R174" s="4">
        <f>COUNTIF($D$2:$D$10000,D174)&gt;1</f>
        <v/>
      </c>
      <c r="S174" s="4">
        <f>IF(H174=TRUE,"Disponible","No disponible")</f>
        <v/>
      </c>
      <c r="T174" s="4">
        <f>IF(AND(ISNUMBER(I174),I174&gt;0),ROUND(F174/I174,2),"Sin volumen")</f>
        <v/>
      </c>
      <c r="U174" s="4">
        <f>IF(F174&lt;5000,"Bajo",IF(F174&lt;15000,"Medio","Alto"))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TRIM(CLEAN(PROPER(D176)))</f>
        <v/>
      </c>
      <c r="Q176" s="4">
        <f>PROPER(TRIM(SUBSTITUTE(SUBSTITUTE(SUBSTITUTE(SUBSTITUTE(E176,"TRESEMME","Tresemme"),"HEAD &amp; SHOULDERS","Head &amp; Shoulders"),"ELVIVE","Elvive"),"FRUCTIS","Fructis")))</f>
        <v/>
      </c>
      <c r="R176" s="4">
        <f>COUNTIF($D$2:$D$10000,D176)&gt;1</f>
        <v/>
      </c>
      <c r="S176" s="4">
        <f>IF(H176=TRUE,"Disponible","No disponible")</f>
        <v/>
      </c>
      <c r="T176" s="4">
        <f>IF(AND(ISNUMBER(I176),I176&gt;0),ROUND(F176/I176,2),"Sin volumen")</f>
        <v/>
      </c>
      <c r="U176" s="4">
        <f>IF(F176&lt;5000,"Bajo",IF(F176&lt;15000,"Medio","Alto"))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TRIM(CLEAN(PROPER(D178)))</f>
        <v/>
      </c>
      <c r="Q178" s="4">
        <f>PROPER(TRIM(SUBSTITUTE(SUBSTITUTE(SUBSTITUTE(SUBSTITUTE(E178,"TRESEMME","Tresemme"),"HEAD &amp; SHOULDERS","Head &amp; Shoulders"),"ELVIVE","Elvive"),"FRUCTIS","Fructis")))</f>
        <v/>
      </c>
      <c r="R178" s="4">
        <f>COUNTIF($D$2:$D$10000,D178)&gt;1</f>
        <v/>
      </c>
      <c r="S178" s="4">
        <f>IF(H178=TRUE,"Disponible","No disponible")</f>
        <v/>
      </c>
      <c r="T178" s="4">
        <f>IF(AND(ISNUMBER(I178),I178&gt;0),ROUND(F178/I178,2),"Sin volumen")</f>
        <v/>
      </c>
      <c r="U178" s="4">
        <f>IF(F178&lt;5000,"Bajo",IF(F178&lt;15000,"Medio","Alto"))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TRIM(CLEAN(PROPER(D180)))</f>
        <v/>
      </c>
      <c r="Q180" s="4">
        <f>PROPER(TRIM(SUBSTITUTE(SUBSTITUTE(SUBSTITUTE(SUBSTITUTE(E180,"TRESEMME","Tresemme"),"HEAD &amp; SHOULDERS","Head &amp; Shoulders"),"ELVIVE","Elvive"),"FRUCTIS","Fructis")))</f>
        <v/>
      </c>
      <c r="R180" s="4">
        <f>COUNTIF($D$2:$D$10000,D180)&gt;1</f>
        <v/>
      </c>
      <c r="S180" s="4">
        <f>IF(H180=TRUE,"Disponible","No disponible")</f>
        <v/>
      </c>
      <c r="T180" s="4">
        <f>IF(AND(ISNUMBER(I180),I180&gt;0),ROUND(F180/I180,2),"Sin volumen")</f>
        <v/>
      </c>
      <c r="U180" s="4">
        <f>IF(F180&lt;5000,"Bajo",IF(F180&lt;15000,"Medio","Alto"))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TRIM(CLEAN(PROPER(D182)))</f>
        <v/>
      </c>
      <c r="Q182" s="4">
        <f>PROPER(TRIM(SUBSTITUTE(SUBSTITUTE(SUBSTITUTE(SUBSTITUTE(E182,"TRESEMME","Tresemme"),"HEAD &amp; SHOULDERS","Head &amp; Shoulders"),"ELVIVE","Elvive"),"FRUCTIS","Fructis")))</f>
        <v/>
      </c>
      <c r="R182" s="4">
        <f>COUNTIF($D$2:$D$10000,D182)&gt;1</f>
        <v/>
      </c>
      <c r="S182" s="4">
        <f>IF(H182=TRUE,"Disponible","No disponible")</f>
        <v/>
      </c>
      <c r="T182" s="4">
        <f>IF(AND(ISNUMBER(I182),I182&gt;0),ROUND(F182/I182,2),"Sin volumen")</f>
        <v/>
      </c>
      <c r="U182" s="4">
        <f>IF(F182&lt;5000,"Bajo",IF(F182&lt;15000,"Medio","Alto"))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TRIM(CLEAN(PROPER(D184)))</f>
        <v/>
      </c>
      <c r="Q184" s="4">
        <f>PROPER(TRIM(SUBSTITUTE(SUBSTITUTE(SUBSTITUTE(SUBSTITUTE(E184,"TRESEMME","Tresemme"),"HEAD &amp; SHOULDERS","Head &amp; Shoulders"),"ELVIVE","Elvive"),"FRUCTIS","Fructis")))</f>
        <v/>
      </c>
      <c r="R184" s="4">
        <f>COUNTIF($D$2:$D$10000,D184)&gt;1</f>
        <v/>
      </c>
      <c r="S184" s="4">
        <f>IF(H184=TRUE,"Disponible","No disponible")</f>
        <v/>
      </c>
      <c r="T184" s="4">
        <f>IF(AND(ISNUMBER(I184),I184&gt;0),ROUND(F184/I184,2),"Sin volumen")</f>
        <v/>
      </c>
      <c r="U184" s="4">
        <f>IF(F184&lt;5000,"Bajo",IF(F184&lt;15000,"Medio","Alto"))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TRIM(CLEAN(PROPER(D186)))</f>
        <v/>
      </c>
      <c r="Q186" s="4">
        <f>PROPER(TRIM(SUBSTITUTE(SUBSTITUTE(SUBSTITUTE(SUBSTITUTE(E186,"TRESEMME","Tresemme"),"HEAD &amp; SHOULDERS","Head &amp; Shoulders"),"ELVIVE","Elvive"),"FRUCTIS","Fructis")))</f>
        <v/>
      </c>
      <c r="R186" s="4">
        <f>COUNTIF($D$2:$D$10000,D186)&gt;1</f>
        <v/>
      </c>
      <c r="S186" s="4">
        <f>IF(H186=TRUE,"Disponible","No disponible")</f>
        <v/>
      </c>
      <c r="T186" s="4">
        <f>IF(AND(ISNUMBER(I186),I186&gt;0),ROUND(F186/I186,2),"Sin volumen")</f>
        <v/>
      </c>
      <c r="U186" s="4">
        <f>IF(F186&lt;5000,"Bajo",IF(F186&lt;15000,"Medio","Alto"))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TRIM(CLEAN(PROPER(D188)))</f>
        <v/>
      </c>
      <c r="Q188" s="4">
        <f>PROPER(TRIM(SUBSTITUTE(SUBSTITUTE(SUBSTITUTE(SUBSTITUTE(E188,"TRESEMME","Tresemme"),"HEAD &amp; SHOULDERS","Head &amp; Shoulders"),"ELVIVE","Elvive"),"FRUCTIS","Fructis")))</f>
        <v/>
      </c>
      <c r="R188" s="4">
        <f>COUNTIF($D$2:$D$10000,D188)&gt;1</f>
        <v/>
      </c>
      <c r="S188" s="4">
        <f>IF(H188=TRUE,"Disponible","No disponible")</f>
        <v/>
      </c>
      <c r="T188" s="4">
        <f>IF(AND(ISNUMBER(I188),I188&gt;0),ROUND(F188/I188,2),"Sin volumen")</f>
        <v/>
      </c>
      <c r="U188" s="4">
        <f>IF(F188&lt;5000,"Bajo",IF(F188&lt;15000,"Medio","Alto"))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TRIM(CLEAN(PROPER(D190)))</f>
        <v/>
      </c>
      <c r="Q190" s="4">
        <f>PROPER(TRIM(SUBSTITUTE(SUBSTITUTE(SUBSTITUTE(SUBSTITUTE(E190,"TRESEMME","Tresemme"),"HEAD &amp; SHOULDERS","Head &amp; Shoulders"),"ELVIVE","Elvive"),"FRUCTIS","Fructis")))</f>
        <v/>
      </c>
      <c r="R190" s="4">
        <f>COUNTIF($D$2:$D$10000,D190)&gt;1</f>
        <v/>
      </c>
      <c r="S190" s="4">
        <f>IF(H190=TRUE,"Disponible","No disponible")</f>
        <v/>
      </c>
      <c r="T190" s="4">
        <f>IF(AND(ISNUMBER(I190),I190&gt;0),ROUND(F190/I190,2),"Sin volumen")</f>
        <v/>
      </c>
      <c r="U190" s="4">
        <f>IF(F190&lt;5000,"Bajo",IF(F190&lt;15000,"Medio","Alto"))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TRIM(CLEAN(PROPER(D192)))</f>
        <v/>
      </c>
      <c r="Q192" s="4">
        <f>PROPER(TRIM(SUBSTITUTE(SUBSTITUTE(SUBSTITUTE(SUBSTITUTE(E192,"TRESEMME","Tresemme"),"HEAD &amp; SHOULDERS","Head &amp; Shoulders"),"ELVIVE","Elvive"),"FRUCTIS","Fructis")))</f>
        <v/>
      </c>
      <c r="R192" s="4">
        <f>COUNTIF($D$2:$D$10000,D192)&gt;1</f>
        <v/>
      </c>
      <c r="S192" s="4">
        <f>IF(H192=TRUE,"Disponible","No disponible")</f>
        <v/>
      </c>
      <c r="T192" s="4">
        <f>IF(AND(ISNUMBER(I192),I192&gt;0),ROUND(F192/I192,2),"Sin volumen")</f>
        <v/>
      </c>
      <c r="U192" s="4">
        <f>IF(F192&lt;5000,"Bajo",IF(F192&lt;15000,"Medio","Alto"))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TRIM(CLEAN(PROPER(D194)))</f>
        <v/>
      </c>
      <c r="Q194" s="4">
        <f>PROPER(TRIM(SUBSTITUTE(SUBSTITUTE(SUBSTITUTE(SUBSTITUTE(E194,"TRESEMME","Tresemme"),"HEAD &amp; SHOULDERS","Head &amp; Shoulders"),"ELVIVE","Elvive"),"FRUCTIS","Fructis")))</f>
        <v/>
      </c>
      <c r="R194" s="4">
        <f>COUNTIF($D$2:$D$10000,D194)&gt;1</f>
        <v/>
      </c>
      <c r="S194" s="4">
        <f>IF(H194=TRUE,"Disponible","No disponible")</f>
        <v/>
      </c>
      <c r="T194" s="4">
        <f>IF(AND(ISNUMBER(I194),I194&gt;0),ROUND(F194/I194,2),"Sin volumen")</f>
        <v/>
      </c>
      <c r="U194" s="4">
        <f>IF(F194&lt;5000,"Bajo",IF(F194&lt;15000,"Medio","Alto"))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TRIM(CLEAN(PROPER(D196)))</f>
        <v/>
      </c>
      <c r="Q196" s="4">
        <f>PROPER(TRIM(SUBSTITUTE(SUBSTITUTE(SUBSTITUTE(SUBSTITUTE(E196,"TRESEMME","Tresemme"),"HEAD &amp; SHOULDERS","Head &amp; Shoulders"),"ELVIVE","Elvive"),"FRUCTIS","Fructis")))</f>
        <v/>
      </c>
      <c r="R196" s="4">
        <f>COUNTIF($D$2:$D$10000,D196)&gt;1</f>
        <v/>
      </c>
      <c r="S196" s="4">
        <f>IF(H196=TRUE,"Disponible","No disponible")</f>
        <v/>
      </c>
      <c r="T196" s="4">
        <f>IF(AND(ISNUMBER(I196),I196&gt;0),ROUND(F196/I196,2),"Sin volumen")</f>
        <v/>
      </c>
      <c r="U196" s="4">
        <f>IF(F196&lt;5000,"Bajo",IF(F196&lt;15000,"Medio","Alto"))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TRIM(CLEAN(PROPER(D198)))</f>
        <v/>
      </c>
      <c r="Q198" s="4">
        <f>PROPER(TRIM(SUBSTITUTE(SUBSTITUTE(SUBSTITUTE(SUBSTITUTE(E198,"TRESEMME","Tresemme"),"HEAD &amp; SHOULDERS","Head &amp; Shoulders"),"ELVIVE","Elvive"),"FRUCTIS","Fructis")))</f>
        <v/>
      </c>
      <c r="R198" s="4">
        <f>COUNTIF($D$2:$D$10000,D198)&gt;1</f>
        <v/>
      </c>
      <c r="S198" s="4">
        <f>IF(H198=TRUE,"Disponible","No disponible")</f>
        <v/>
      </c>
      <c r="T198" s="4">
        <f>IF(AND(ISNUMBER(I198),I198&gt;0),ROUND(F198/I198,2),"Sin volumen")</f>
        <v/>
      </c>
      <c r="U198" s="4">
        <f>IF(F198&lt;5000,"Bajo",IF(F198&lt;15000,"Medio","Alto"))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TRIM(CLEAN(PROPER(D200)))</f>
        <v/>
      </c>
      <c r="Q200" s="4">
        <f>PROPER(TRIM(SUBSTITUTE(SUBSTITUTE(SUBSTITUTE(SUBSTITUTE(E200,"TRESEMME","Tresemme"),"HEAD &amp; SHOULDERS","Head &amp; Shoulders"),"ELVIVE","Elvive"),"FRUCTIS","Fructis")))</f>
        <v/>
      </c>
      <c r="R200" s="4">
        <f>COUNTIF($D$2:$D$10000,D200)&gt;1</f>
        <v/>
      </c>
      <c r="S200" s="4">
        <f>IF(H200=TRUE,"Disponible","No disponible")</f>
        <v/>
      </c>
      <c r="T200" s="4">
        <f>IF(AND(ISNUMBER(I200),I200&gt;0),ROUND(F200/I200,2),"Sin volumen")</f>
        <v/>
      </c>
      <c r="U200" s="4">
        <f>IF(F200&lt;5000,"Bajo",IF(F200&lt;15000,"Medio","Alto"))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TRIM(CLEAN(PROPER(D202)))</f>
        <v/>
      </c>
      <c r="Q202" s="4">
        <f>PROPER(TRIM(SUBSTITUTE(SUBSTITUTE(SUBSTITUTE(SUBSTITUTE(E202,"TRESEMME","Tresemme"),"HEAD &amp; SHOULDERS","Head &amp; Shoulders"),"ELVIVE","Elvive"),"FRUCTIS","Fructis")))</f>
        <v/>
      </c>
      <c r="R202" s="4">
        <f>COUNTIF($D$2:$D$10000,D202)&gt;1</f>
        <v/>
      </c>
      <c r="S202" s="4">
        <f>IF(H202=TRUE,"Disponible","No disponible")</f>
        <v/>
      </c>
      <c r="T202" s="4">
        <f>IF(AND(ISNUMBER(I202),I202&gt;0),ROUND(F202/I202,2),"Sin volumen")</f>
        <v/>
      </c>
      <c r="U202" s="4">
        <f>IF(F202&lt;5000,"Bajo",IF(F202&lt;15000,"Medio","Alto"))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TRIM(CLEAN(PROPER(D204)))</f>
        <v/>
      </c>
      <c r="Q204" s="4">
        <f>PROPER(TRIM(SUBSTITUTE(SUBSTITUTE(SUBSTITUTE(SUBSTITUTE(E204,"TRESEMME","Tresemme"),"HEAD &amp; SHOULDERS","Head &amp; Shoulders"),"ELVIVE","Elvive"),"FRUCTIS","Fructis")))</f>
        <v/>
      </c>
      <c r="R204" s="4">
        <f>COUNTIF($D$2:$D$10000,D204)&gt;1</f>
        <v/>
      </c>
      <c r="S204" s="4">
        <f>IF(H204=TRUE,"Disponible","No disponible")</f>
        <v/>
      </c>
      <c r="T204" s="4">
        <f>IF(AND(ISNUMBER(I204),I204&gt;0),ROUND(F204/I204,2),"Sin volumen")</f>
        <v/>
      </c>
      <c r="U204" s="4">
        <f>IF(F204&lt;5000,"Bajo",IF(F204&lt;15000,"Medio","Alto"))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TRIM(CLEAN(PROPER(D206)))</f>
        <v/>
      </c>
      <c r="Q206" s="4">
        <f>PROPER(TRIM(SUBSTITUTE(SUBSTITUTE(SUBSTITUTE(SUBSTITUTE(E206,"TRESEMME","Tresemme"),"HEAD &amp; SHOULDERS","Head &amp; Shoulders"),"ELVIVE","Elvive"),"FRUCTIS","Fructis")))</f>
        <v/>
      </c>
      <c r="R206" s="4">
        <f>COUNTIF($D$2:$D$10000,D206)&gt;1</f>
        <v/>
      </c>
      <c r="S206" s="4">
        <f>IF(H206=TRUE,"Disponible","No disponible")</f>
        <v/>
      </c>
      <c r="T206" s="4">
        <f>IF(AND(ISNUMBER(I206),I206&gt;0),ROUND(F206/I206,2),"Sin volumen")</f>
        <v/>
      </c>
      <c r="U206" s="4">
        <f>IF(F206&lt;5000,"Bajo",IF(F206&lt;15000,"Medio","Alto"))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TRIM(CLEAN(PROPER(D208)))</f>
        <v/>
      </c>
      <c r="Q208" s="4">
        <f>PROPER(TRIM(SUBSTITUTE(SUBSTITUTE(SUBSTITUTE(SUBSTITUTE(E208,"TRESEMME","Tresemme"),"HEAD &amp; SHOULDERS","Head &amp; Shoulders"),"ELVIVE","Elvive"),"FRUCTIS","Fructis")))</f>
        <v/>
      </c>
      <c r="R208" s="4">
        <f>COUNTIF($D$2:$D$10000,D208)&gt;1</f>
        <v/>
      </c>
      <c r="S208" s="4">
        <f>IF(H208=TRUE,"Disponible","No disponible")</f>
        <v/>
      </c>
      <c r="T208" s="4">
        <f>IF(AND(ISNUMBER(I208),I208&gt;0),ROUND(F208/I208,2),"Sin volumen")</f>
        <v/>
      </c>
      <c r="U208" s="4">
        <f>IF(F208&lt;5000,"Bajo",IF(F208&lt;15000,"Medio","Alto"))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TRIM(CLEAN(PROPER(D210)))</f>
        <v/>
      </c>
      <c r="Q210" s="4">
        <f>PROPER(TRIM(SUBSTITUTE(SUBSTITUTE(SUBSTITUTE(SUBSTITUTE(E210,"TRESEMME","Tresemme"),"HEAD &amp; SHOULDERS","Head &amp; Shoulders"),"ELVIVE","Elvive"),"FRUCTIS","Fructis")))</f>
        <v/>
      </c>
      <c r="R210" s="4">
        <f>COUNTIF($D$2:$D$10000,D210)&gt;1</f>
        <v/>
      </c>
      <c r="S210" s="4">
        <f>IF(H210=TRUE,"Disponible","No disponible")</f>
        <v/>
      </c>
      <c r="T210" s="4">
        <f>IF(AND(ISNUMBER(I210),I210&gt;0),ROUND(F210/I210,2),"Sin volumen")</f>
        <v/>
      </c>
      <c r="U210" s="4">
        <f>IF(F210&lt;5000,"Bajo",IF(F210&lt;15000,"Medio","Alto"))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TRIM(CLEAN(PROPER(D212)))</f>
        <v/>
      </c>
      <c r="Q212" s="4">
        <f>PROPER(TRIM(SUBSTITUTE(SUBSTITUTE(SUBSTITUTE(SUBSTITUTE(E212,"TRESEMME","Tresemme"),"HEAD &amp; SHOULDERS","Head &amp; Shoulders"),"ELVIVE","Elvive"),"FRUCTIS","Fructis")))</f>
        <v/>
      </c>
      <c r="R212" s="4">
        <f>COUNTIF($D$2:$D$10000,D212)&gt;1</f>
        <v/>
      </c>
      <c r="S212" s="4">
        <f>IF(H212=TRUE,"Disponible","No disponible")</f>
        <v/>
      </c>
      <c r="T212" s="4">
        <f>IF(AND(ISNUMBER(I212),I212&gt;0),ROUND(F212/I212,2),"Sin volumen")</f>
        <v/>
      </c>
      <c r="U212" s="4">
        <f>IF(F212&lt;5000,"Bajo",IF(F212&lt;15000,"Medio","Alto"))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TRIM(CLEAN(PROPER(D214)))</f>
        <v/>
      </c>
      <c r="Q214" s="4">
        <f>PROPER(TRIM(SUBSTITUTE(SUBSTITUTE(SUBSTITUTE(SUBSTITUTE(E214,"TRESEMME","Tresemme"),"HEAD &amp; SHOULDERS","Head &amp; Shoulders"),"ELVIVE","Elvive"),"FRUCTIS","Fructis")))</f>
        <v/>
      </c>
      <c r="R214" s="4">
        <f>COUNTIF($D$2:$D$10000,D214)&gt;1</f>
        <v/>
      </c>
      <c r="S214" s="4">
        <f>IF(H214=TRUE,"Disponible","No disponible")</f>
        <v/>
      </c>
      <c r="T214" s="4">
        <f>IF(AND(ISNUMBER(I214),I214&gt;0),ROUND(F214/I214,2),"Sin volumen")</f>
        <v/>
      </c>
      <c r="U214" s="4">
        <f>IF(F214&lt;5000,"Bajo",IF(F214&lt;15000,"Medio","Alto"))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TRIM(CLEAN(PROPER(D216)))</f>
        <v/>
      </c>
      <c r="Q216" s="4">
        <f>PROPER(TRIM(SUBSTITUTE(SUBSTITUTE(SUBSTITUTE(SUBSTITUTE(E216,"TRESEMME","Tresemme"),"HEAD &amp; SHOULDERS","Head &amp; Shoulders"),"ELVIVE","Elvive"),"FRUCTIS","Fructis")))</f>
        <v/>
      </c>
      <c r="R216" s="4">
        <f>COUNTIF($D$2:$D$10000,D216)&gt;1</f>
        <v/>
      </c>
      <c r="S216" s="4">
        <f>IF(H216=TRUE,"Disponible","No disponible")</f>
        <v/>
      </c>
      <c r="T216" s="4">
        <f>IF(AND(ISNUMBER(I216),I216&gt;0),ROUND(F216/I216,2),"Sin volumen")</f>
        <v/>
      </c>
      <c r="U216" s="4">
        <f>IF(F216&lt;5000,"Bajo",IF(F216&lt;15000,"Medio","Alto"))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TRIM(CLEAN(PROPER(D218)))</f>
        <v/>
      </c>
      <c r="Q218" s="4">
        <f>PROPER(TRIM(SUBSTITUTE(SUBSTITUTE(SUBSTITUTE(SUBSTITUTE(E218,"TRESEMME","Tresemme"),"HEAD &amp; SHOULDERS","Head &amp; Shoulders"),"ELVIVE","Elvive"),"FRUCTIS","Fructis")))</f>
        <v/>
      </c>
      <c r="R218" s="4">
        <f>COUNTIF($D$2:$D$10000,D218)&gt;1</f>
        <v/>
      </c>
      <c r="S218" s="4">
        <f>IF(H218=TRUE,"Disponible","No disponible")</f>
        <v/>
      </c>
      <c r="T218" s="4">
        <f>IF(AND(ISNUMBER(I218),I218&gt;0),ROUND(F218/I218,2),"Sin volumen")</f>
        <v/>
      </c>
      <c r="U218" s="4">
        <f>IF(F218&lt;5000,"Bajo",IF(F218&lt;15000,"Medio","Alto"))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TRIM(CLEAN(PROPER(D220)))</f>
        <v/>
      </c>
      <c r="Q220" s="4">
        <f>PROPER(TRIM(SUBSTITUTE(SUBSTITUTE(SUBSTITUTE(SUBSTITUTE(E220,"TRESEMME","Tresemme"),"HEAD &amp; SHOULDERS","Head &amp; Shoulders"),"ELVIVE","Elvive"),"FRUCTIS","Fructis")))</f>
        <v/>
      </c>
      <c r="R220" s="4">
        <f>COUNTIF($D$2:$D$10000,D220)&gt;1</f>
        <v/>
      </c>
      <c r="S220" s="4">
        <f>IF(H220=TRUE,"Disponible","No disponible")</f>
        <v/>
      </c>
      <c r="T220" s="4">
        <f>IF(AND(ISNUMBER(I220),I220&gt;0),ROUND(F220/I220,2),"Sin volumen")</f>
        <v/>
      </c>
      <c r="U220" s="4">
        <f>IF(F220&lt;5000,"Bajo",IF(F220&lt;15000,"Medio","Alto"))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TRIM(CLEAN(PROPER(D222)))</f>
        <v/>
      </c>
      <c r="Q222" s="4">
        <f>PROPER(TRIM(SUBSTITUTE(SUBSTITUTE(SUBSTITUTE(SUBSTITUTE(E222,"TRESEMME","Tresemme"),"HEAD &amp; SHOULDERS","Head &amp; Shoulders"),"ELVIVE","Elvive"),"FRUCTIS","Fructis")))</f>
        <v/>
      </c>
      <c r="R222" s="4">
        <f>COUNTIF($D$2:$D$10000,D222)&gt;1</f>
        <v/>
      </c>
      <c r="S222" s="4">
        <f>IF(H222=TRUE,"Disponible","No disponible")</f>
        <v/>
      </c>
      <c r="T222" s="4">
        <f>IF(AND(ISNUMBER(I222),I222&gt;0),ROUND(F222/I222,2),"Sin volumen")</f>
        <v/>
      </c>
      <c r="U222" s="4">
        <f>IF(F222&lt;5000,"Bajo",IF(F222&lt;15000,"Medio","Alto"))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TRIM(CLEAN(PROPER(D224)))</f>
        <v/>
      </c>
      <c r="Q224" s="4">
        <f>PROPER(TRIM(SUBSTITUTE(SUBSTITUTE(SUBSTITUTE(SUBSTITUTE(E224,"TRESEMME","Tresemme"),"HEAD &amp; SHOULDERS","Head &amp; Shoulders"),"ELVIVE","Elvive"),"FRUCTIS","Fructis")))</f>
        <v/>
      </c>
      <c r="R224" s="4">
        <f>COUNTIF($D$2:$D$10000,D224)&gt;1</f>
        <v/>
      </c>
      <c r="S224" s="4">
        <f>IF(H224=TRUE,"Disponible","No disponible")</f>
        <v/>
      </c>
      <c r="T224" s="4">
        <f>IF(AND(ISNUMBER(I224),I224&gt;0),ROUND(F224/I224,2),"Sin volumen")</f>
        <v/>
      </c>
      <c r="U224" s="4">
        <f>IF(F224&lt;5000,"Bajo",IF(F224&lt;15000,"Medio","Alto"))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TRIM(CLEAN(PROPER(D226)))</f>
        <v/>
      </c>
      <c r="Q226" s="4">
        <f>PROPER(TRIM(SUBSTITUTE(SUBSTITUTE(SUBSTITUTE(SUBSTITUTE(E226,"TRESEMME","Tresemme"),"HEAD &amp; SHOULDERS","Head &amp; Shoulders"),"ELVIVE","Elvive"),"FRUCTIS","Fructis")))</f>
        <v/>
      </c>
      <c r="R226" s="4">
        <f>COUNTIF($D$2:$D$10000,D226)&gt;1</f>
        <v/>
      </c>
      <c r="S226" s="4">
        <f>IF(H226=TRUE,"Disponible","No disponible")</f>
        <v/>
      </c>
      <c r="T226" s="4">
        <f>IF(AND(ISNUMBER(I226),I226&gt;0),ROUND(F226/I226,2),"Sin volumen")</f>
        <v/>
      </c>
      <c r="U226" s="4">
        <f>IF(F226&lt;5000,"Bajo",IF(F226&lt;15000,"Medio","Alto"))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TRIM(CLEAN(PROPER(D228)))</f>
        <v/>
      </c>
      <c r="Q228" s="4">
        <f>PROPER(TRIM(SUBSTITUTE(SUBSTITUTE(SUBSTITUTE(SUBSTITUTE(E228,"TRESEMME","Tresemme"),"HEAD &amp; SHOULDERS","Head &amp; Shoulders"),"ELVIVE","Elvive"),"FRUCTIS","Fructis")))</f>
        <v/>
      </c>
      <c r="R228" s="4">
        <f>COUNTIF($D$2:$D$10000,D228)&gt;1</f>
        <v/>
      </c>
      <c r="S228" s="4">
        <f>IF(H228=TRUE,"Disponible","No disponible")</f>
        <v/>
      </c>
      <c r="T228" s="4">
        <f>IF(AND(ISNUMBER(I228),I228&gt;0),ROUND(F228/I228,2),"Sin volumen")</f>
        <v/>
      </c>
      <c r="U228" s="4">
        <f>IF(F228&lt;5000,"Bajo",IF(F228&lt;15000,"Medio","Alto"))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TRIM(CLEAN(PROPER(D230)))</f>
        <v/>
      </c>
      <c r="Q230" s="4">
        <f>PROPER(TRIM(SUBSTITUTE(SUBSTITUTE(SUBSTITUTE(SUBSTITUTE(E230,"TRESEMME","Tresemme"),"HEAD &amp; SHOULDERS","Head &amp; Shoulders"),"ELVIVE","Elvive"),"FRUCTIS","Fructis")))</f>
        <v/>
      </c>
      <c r="R230" s="4">
        <f>COUNTIF($D$2:$D$10000,D230)&gt;1</f>
        <v/>
      </c>
      <c r="S230" s="4">
        <f>IF(H230=TRUE,"Disponible","No disponible")</f>
        <v/>
      </c>
      <c r="T230" s="4">
        <f>IF(AND(ISNUMBER(I230),I230&gt;0),ROUND(F230/I230,2),"Sin volumen")</f>
        <v/>
      </c>
      <c r="U230" s="4">
        <f>IF(F230&lt;5000,"Bajo",IF(F230&lt;15000,"Medio","Alto"))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TRIM(CLEAN(PROPER(D232)))</f>
        <v/>
      </c>
      <c r="Q232" s="4">
        <f>PROPER(TRIM(SUBSTITUTE(SUBSTITUTE(SUBSTITUTE(SUBSTITUTE(E232,"TRESEMME","Tresemme"),"HEAD &amp; SHOULDERS","Head &amp; Shoulders"),"ELVIVE","Elvive"),"FRUCTIS","Fructis")))</f>
        <v/>
      </c>
      <c r="R232" s="4">
        <f>COUNTIF($D$2:$D$10000,D232)&gt;1</f>
        <v/>
      </c>
      <c r="S232" s="4">
        <f>IF(H232=TRUE,"Disponible","No disponible")</f>
        <v/>
      </c>
      <c r="T232" s="4">
        <f>IF(AND(ISNUMBER(I232),I232&gt;0),ROUND(F232/I232,2),"Sin volumen")</f>
        <v/>
      </c>
      <c r="U232" s="4">
        <f>IF(F232&lt;5000,"Bajo",IF(F232&lt;15000,"Medio","Alto"))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TRIM(CLEAN(PROPER(D234)))</f>
        <v/>
      </c>
      <c r="Q234" s="4">
        <f>PROPER(TRIM(SUBSTITUTE(SUBSTITUTE(SUBSTITUTE(SUBSTITUTE(E234,"TRESEMME","Tresemme"),"HEAD &amp; SHOULDERS","Head &amp; Shoulders"),"ELVIVE","Elvive"),"FRUCTIS","Fructis")))</f>
        <v/>
      </c>
      <c r="R234" s="4">
        <f>COUNTIF($D$2:$D$10000,D234)&gt;1</f>
        <v/>
      </c>
      <c r="S234" s="4">
        <f>IF(H234=TRUE,"Disponible","No disponible")</f>
        <v/>
      </c>
      <c r="T234" s="4">
        <f>IF(AND(ISNUMBER(I234),I234&gt;0),ROUND(F234/I234,2),"Sin volumen")</f>
        <v/>
      </c>
      <c r="U234" s="4">
        <f>IF(F234&lt;5000,"Bajo",IF(F234&lt;15000,"Medio","Alto"))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TRIM(CLEAN(PROPER(D236)))</f>
        <v/>
      </c>
      <c r="Q236" s="4">
        <f>PROPER(TRIM(SUBSTITUTE(SUBSTITUTE(SUBSTITUTE(SUBSTITUTE(E236,"TRESEMME","Tresemme"),"HEAD &amp; SHOULDERS","Head &amp; Shoulders"),"ELVIVE","Elvive"),"FRUCTIS","Fructis")))</f>
        <v/>
      </c>
      <c r="R236" s="4">
        <f>COUNTIF($D$2:$D$10000,D236)&gt;1</f>
        <v/>
      </c>
      <c r="S236" s="4">
        <f>IF(H236=TRUE,"Disponible","No disponible")</f>
        <v/>
      </c>
      <c r="T236" s="4">
        <f>IF(AND(ISNUMBER(I236),I236&gt;0),ROUND(F236/I236,2),"Sin volumen")</f>
        <v/>
      </c>
      <c r="U236" s="4">
        <f>IF(F236&lt;5000,"Bajo",IF(F236&lt;15000,"Medio","Alto"))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TRIM(CLEAN(PROPER(D238)))</f>
        <v/>
      </c>
      <c r="Q238" s="4">
        <f>PROPER(TRIM(SUBSTITUTE(SUBSTITUTE(SUBSTITUTE(SUBSTITUTE(E238,"TRESEMME","Tresemme"),"HEAD &amp; SHOULDERS","Head &amp; Shoulders"),"ELVIVE","Elvive"),"FRUCTIS","Fructis")))</f>
        <v/>
      </c>
      <c r="R238" s="4">
        <f>COUNTIF($D$2:$D$10000,D238)&gt;1</f>
        <v/>
      </c>
      <c r="S238" s="4">
        <f>IF(H238=TRUE,"Disponible","No disponible")</f>
        <v/>
      </c>
      <c r="T238" s="4">
        <f>IF(AND(ISNUMBER(I238),I238&gt;0),ROUND(F238/I238,2),"Sin volumen")</f>
        <v/>
      </c>
      <c r="U238" s="4">
        <f>IF(F238&lt;5000,"Bajo",IF(F238&lt;15000,"Medio","Alto"))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TRIM(CLEAN(PROPER(D240)))</f>
        <v/>
      </c>
      <c r="Q240" s="4">
        <f>PROPER(TRIM(SUBSTITUTE(SUBSTITUTE(SUBSTITUTE(SUBSTITUTE(E240,"TRESEMME","Tresemme"),"HEAD &amp; SHOULDERS","Head &amp; Shoulders"),"ELVIVE","Elvive"),"FRUCTIS","Fructis")))</f>
        <v/>
      </c>
      <c r="R240" s="4">
        <f>COUNTIF($D$2:$D$10000,D240)&gt;1</f>
        <v/>
      </c>
      <c r="S240" s="4">
        <f>IF(H240=TRUE,"Disponible","No disponible")</f>
        <v/>
      </c>
      <c r="T240" s="4">
        <f>IF(AND(ISNUMBER(I240),I240&gt;0),ROUND(F240/I240,2),"Sin volumen")</f>
        <v/>
      </c>
      <c r="U240" s="4">
        <f>IF(F240&lt;5000,"Bajo",IF(F240&lt;15000,"Medio","Alto"))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TRIM(CLEAN(PROPER(D242)))</f>
        <v/>
      </c>
      <c r="Q242" s="4">
        <f>PROPER(TRIM(SUBSTITUTE(SUBSTITUTE(SUBSTITUTE(SUBSTITUTE(E242,"TRESEMME","Tresemme"),"HEAD &amp; SHOULDERS","Head &amp; Shoulders"),"ELVIVE","Elvive"),"FRUCTIS","Fructis")))</f>
        <v/>
      </c>
      <c r="R242" s="4">
        <f>COUNTIF($D$2:$D$10000,D242)&gt;1</f>
        <v/>
      </c>
      <c r="S242" s="4">
        <f>IF(H242=TRUE,"Disponible","No disponible")</f>
        <v/>
      </c>
      <c r="T242" s="4">
        <f>IF(AND(ISNUMBER(I242),I242&gt;0),ROUND(F242/I242,2),"Sin volumen")</f>
        <v/>
      </c>
      <c r="U242" s="4">
        <f>IF(F242&lt;5000,"Bajo",IF(F242&lt;15000,"Medio","Alto"))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TRIM(CLEAN(PROPER(D244)))</f>
        <v/>
      </c>
      <c r="Q244" s="4">
        <f>PROPER(TRIM(SUBSTITUTE(SUBSTITUTE(SUBSTITUTE(SUBSTITUTE(E244,"TRESEMME","Tresemme"),"HEAD &amp; SHOULDERS","Head &amp; Shoulders"),"ELVIVE","Elvive"),"FRUCTIS","Fructis")))</f>
        <v/>
      </c>
      <c r="R244" s="4">
        <f>COUNTIF($D$2:$D$10000,D244)&gt;1</f>
        <v/>
      </c>
      <c r="S244" s="4">
        <f>IF(H244=TRUE,"Disponible","No disponible")</f>
        <v/>
      </c>
      <c r="T244" s="4">
        <f>IF(AND(ISNUMBER(I244),I244&gt;0),ROUND(F244/I244,2),"Sin volumen")</f>
        <v/>
      </c>
      <c r="U244" s="4">
        <f>IF(F244&lt;5000,"Bajo",IF(F244&lt;15000,"Medio","Alto"))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TRIM(CLEAN(PROPER(D246)))</f>
        <v/>
      </c>
      <c r="Q246" s="4">
        <f>PROPER(TRIM(SUBSTITUTE(SUBSTITUTE(SUBSTITUTE(SUBSTITUTE(E246,"TRESEMME","Tresemme"),"HEAD &amp; SHOULDERS","Head &amp; Shoulders"),"ELVIVE","Elvive"),"FRUCTIS","Fructis")))</f>
        <v/>
      </c>
      <c r="R246" s="4">
        <f>COUNTIF($D$2:$D$10000,D246)&gt;1</f>
        <v/>
      </c>
      <c r="S246" s="4">
        <f>IF(H246=TRUE,"Disponible","No disponible")</f>
        <v/>
      </c>
      <c r="T246" s="4">
        <f>IF(AND(ISNUMBER(I246),I246&gt;0),ROUND(F246/I246,2),"Sin volumen")</f>
        <v/>
      </c>
      <c r="U246" s="4">
        <f>IF(F246&lt;5000,"Bajo",IF(F246&lt;15000,"Medio","Alto"))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TRIM(CLEAN(PROPER(D248)))</f>
        <v/>
      </c>
      <c r="Q248" s="4">
        <f>PROPER(TRIM(SUBSTITUTE(SUBSTITUTE(SUBSTITUTE(SUBSTITUTE(E248,"TRESEMME","Tresemme"),"HEAD &amp; SHOULDERS","Head &amp; Shoulders"),"ELVIVE","Elvive"),"FRUCTIS","Fructis")))</f>
        <v/>
      </c>
      <c r="R248" s="4">
        <f>COUNTIF($D$2:$D$10000,D248)&gt;1</f>
        <v/>
      </c>
      <c r="S248" s="4">
        <f>IF(H248=TRUE,"Disponible","No disponible")</f>
        <v/>
      </c>
      <c r="T248" s="4">
        <f>IF(AND(ISNUMBER(I248),I248&gt;0),ROUND(F248/I248,2),"Sin volumen")</f>
        <v/>
      </c>
      <c r="U248" s="4">
        <f>IF(F248&lt;5000,"Bajo",IF(F248&lt;15000,"Medio","Alto"))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TRIM(CLEAN(PROPER(D250)))</f>
        <v/>
      </c>
      <c r="Q250" s="4">
        <f>PROPER(TRIM(SUBSTITUTE(SUBSTITUTE(SUBSTITUTE(SUBSTITUTE(E250,"TRESEMME","Tresemme"),"HEAD &amp; SHOULDERS","Head &amp; Shoulders"),"ELVIVE","Elvive"),"FRUCTIS","Fructis")))</f>
        <v/>
      </c>
      <c r="R250" s="4">
        <f>COUNTIF($D$2:$D$10000,D250)&gt;1</f>
        <v/>
      </c>
      <c r="S250" s="4">
        <f>IF(H250=TRUE,"Disponible","No disponible")</f>
        <v/>
      </c>
      <c r="T250" s="4">
        <f>IF(AND(ISNUMBER(I250),I250&gt;0),ROUND(F250/I250,2),"Sin volumen")</f>
        <v/>
      </c>
      <c r="U250" s="4">
        <f>IF(F250&lt;5000,"Bajo",IF(F250&lt;15000,"Medio","Alto"))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TRIM(CLEAN(PROPER(D252)))</f>
        <v/>
      </c>
      <c r="Q252" s="4">
        <f>PROPER(TRIM(SUBSTITUTE(SUBSTITUTE(SUBSTITUTE(SUBSTITUTE(E252,"TRESEMME","Tresemme"),"HEAD &amp; SHOULDERS","Head &amp; Shoulders"),"ELVIVE","Elvive"),"FRUCTIS","Fructis")))</f>
        <v/>
      </c>
      <c r="R252" s="4">
        <f>COUNTIF($D$2:$D$10000,D252)&gt;1</f>
        <v/>
      </c>
      <c r="S252" s="4">
        <f>IF(H252=TRUE,"Disponible","No disponible")</f>
        <v/>
      </c>
      <c r="T252" s="4">
        <f>IF(AND(ISNUMBER(I252),I252&gt;0),ROUND(F252/I252,2),"Sin volumen")</f>
        <v/>
      </c>
      <c r="U252" s="4">
        <f>IF(F252&lt;5000,"Bajo",IF(F252&lt;15000,"Medio","Alto"))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TRIM(CLEAN(PROPER(D254)))</f>
        <v/>
      </c>
      <c r="Q254" s="4">
        <f>PROPER(TRIM(SUBSTITUTE(SUBSTITUTE(SUBSTITUTE(SUBSTITUTE(E254,"TRESEMME","Tresemme"),"HEAD &amp; SHOULDERS","Head &amp; Shoulders"),"ELVIVE","Elvive"),"FRUCTIS","Fructis")))</f>
        <v/>
      </c>
      <c r="R254" s="4">
        <f>COUNTIF($D$2:$D$10000,D254)&gt;1</f>
        <v/>
      </c>
      <c r="S254" s="4">
        <f>IF(H254=TRUE,"Disponible","No disponible")</f>
        <v/>
      </c>
      <c r="T254" s="4">
        <f>IF(AND(ISNUMBER(I254),I254&gt;0),ROUND(F254/I254,2),"Sin volumen")</f>
        <v/>
      </c>
      <c r="U254" s="4">
        <f>IF(F254&lt;5000,"Bajo",IF(F254&lt;15000,"Medio","Alto"))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TRIM(CLEAN(PROPER(D256)))</f>
        <v/>
      </c>
      <c r="Q256" s="4">
        <f>PROPER(TRIM(SUBSTITUTE(SUBSTITUTE(SUBSTITUTE(SUBSTITUTE(E256,"TRESEMME","Tresemme"),"HEAD &amp; SHOULDERS","Head &amp; Shoulders"),"ELVIVE","Elvive"),"FRUCTIS","Fructis")))</f>
        <v/>
      </c>
      <c r="R256" s="4">
        <f>COUNTIF($D$2:$D$10000,D256)&gt;1</f>
        <v/>
      </c>
      <c r="S256" s="4">
        <f>IF(H256=TRUE,"Disponible","No disponible")</f>
        <v/>
      </c>
      <c r="T256" s="4">
        <f>IF(AND(ISNUMBER(I256),I256&gt;0),ROUND(F256/I256,2),"Sin volumen")</f>
        <v/>
      </c>
      <c r="U256" s="4">
        <f>IF(F256&lt;5000,"Bajo",IF(F256&lt;15000,"Medio","Alto"))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TRIM(CLEAN(PROPER(D258)))</f>
        <v/>
      </c>
      <c r="Q258" s="4">
        <f>PROPER(TRIM(SUBSTITUTE(SUBSTITUTE(SUBSTITUTE(SUBSTITUTE(E258,"TRESEMME","Tresemme"),"HEAD &amp; SHOULDERS","Head &amp; Shoulders"),"ELVIVE","Elvive"),"FRUCTIS","Fructis")))</f>
        <v/>
      </c>
      <c r="R258" s="4">
        <f>COUNTIF($D$2:$D$10000,D258)&gt;1</f>
        <v/>
      </c>
      <c r="S258" s="4">
        <f>IF(H258=TRUE,"Disponible","No disponible")</f>
        <v/>
      </c>
      <c r="T258" s="4">
        <f>IF(AND(ISNUMBER(I258),I258&gt;0),ROUND(F258/I258,2),"Sin volumen")</f>
        <v/>
      </c>
      <c r="U258" s="4">
        <f>IF(F258&lt;5000,"Bajo",IF(F258&lt;15000,"Medio","Alto"))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TRIM(CLEAN(PROPER(D260)))</f>
        <v/>
      </c>
      <c r="Q260" s="4">
        <f>PROPER(TRIM(SUBSTITUTE(SUBSTITUTE(SUBSTITUTE(SUBSTITUTE(E260,"TRESEMME","Tresemme"),"HEAD &amp; SHOULDERS","Head &amp; Shoulders"),"ELVIVE","Elvive"),"FRUCTIS","Fructis")))</f>
        <v/>
      </c>
      <c r="R260" s="4">
        <f>COUNTIF($D$2:$D$10000,D260)&gt;1</f>
        <v/>
      </c>
      <c r="S260" s="4">
        <f>IF(H260=TRUE,"Disponible","No disponible")</f>
        <v/>
      </c>
      <c r="T260" s="4">
        <f>IF(AND(ISNUMBER(I260),I260&gt;0),ROUND(F260/I260,2),"Sin volumen")</f>
        <v/>
      </c>
      <c r="U260" s="4">
        <f>IF(F260&lt;5000,"Bajo",IF(F260&lt;15000,"Medio","Alto"))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TRIM(CLEAN(PROPER(D262)))</f>
        <v/>
      </c>
      <c r="Q262" s="4">
        <f>PROPER(TRIM(SUBSTITUTE(SUBSTITUTE(SUBSTITUTE(SUBSTITUTE(E262,"TRESEMME","Tresemme"),"HEAD &amp; SHOULDERS","Head &amp; Shoulders"),"ELVIVE","Elvive"),"FRUCTIS","Fructis")))</f>
        <v/>
      </c>
      <c r="R262" s="4">
        <f>COUNTIF($D$2:$D$10000,D262)&gt;1</f>
        <v/>
      </c>
      <c r="S262" s="4">
        <f>IF(H262=TRUE,"Disponible","No disponible")</f>
        <v/>
      </c>
      <c r="T262" s="4">
        <f>IF(AND(ISNUMBER(I262),I262&gt;0),ROUND(F262/I262,2),"Sin volumen")</f>
        <v/>
      </c>
      <c r="U262" s="4">
        <f>IF(F262&lt;5000,"Bajo",IF(F262&lt;15000,"Medio","Alto"))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TRIM(CLEAN(PROPER(D264)))</f>
        <v/>
      </c>
      <c r="Q264" s="4">
        <f>PROPER(TRIM(SUBSTITUTE(SUBSTITUTE(SUBSTITUTE(SUBSTITUTE(E264,"TRESEMME","Tresemme"),"HEAD &amp; SHOULDERS","Head &amp; Shoulders"),"ELVIVE","Elvive"),"FRUCTIS","Fructis")))</f>
        <v/>
      </c>
      <c r="R264" s="4">
        <f>COUNTIF($D$2:$D$10000,D264)&gt;1</f>
        <v/>
      </c>
      <c r="S264" s="4">
        <f>IF(H264=TRUE,"Disponible","No disponible")</f>
        <v/>
      </c>
      <c r="T264" s="4">
        <f>IF(AND(ISNUMBER(I264),I264&gt;0),ROUND(F264/I264,2),"Sin volumen")</f>
        <v/>
      </c>
      <c r="U264" s="4">
        <f>IF(F264&lt;5000,"Bajo",IF(F264&lt;15000,"Medio","Alto"))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TRIM(CLEAN(PROPER(D266)))</f>
        <v/>
      </c>
      <c r="Q266" s="4">
        <f>PROPER(TRIM(SUBSTITUTE(SUBSTITUTE(SUBSTITUTE(SUBSTITUTE(E266,"TRESEMME","Tresemme"),"HEAD &amp; SHOULDERS","Head &amp; Shoulders"),"ELVIVE","Elvive"),"FRUCTIS","Fructis")))</f>
        <v/>
      </c>
      <c r="R266" s="4">
        <f>COUNTIF($D$2:$D$10000,D266)&gt;1</f>
        <v/>
      </c>
      <c r="S266" s="4">
        <f>IF(H266=TRUE,"Disponible","No disponible")</f>
        <v/>
      </c>
      <c r="T266" s="4">
        <f>IF(AND(ISNUMBER(I266),I266&gt;0),ROUND(F266/I266,2),"Sin volumen")</f>
        <v/>
      </c>
      <c r="U266" s="4">
        <f>IF(F266&lt;5000,"Bajo",IF(F266&lt;15000,"Medio","Alto"))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TRIM(CLEAN(PROPER(D268)))</f>
        <v/>
      </c>
      <c r="Q268" s="4">
        <f>PROPER(TRIM(SUBSTITUTE(SUBSTITUTE(SUBSTITUTE(SUBSTITUTE(E268,"TRESEMME","Tresemme"),"HEAD &amp; SHOULDERS","Head &amp; Shoulders"),"ELVIVE","Elvive"),"FRUCTIS","Fructis")))</f>
        <v/>
      </c>
      <c r="R268" s="4">
        <f>COUNTIF($D$2:$D$10000,D268)&gt;1</f>
        <v/>
      </c>
      <c r="S268" s="4">
        <f>IF(H268=TRUE,"Disponible","No disponible")</f>
        <v/>
      </c>
      <c r="T268" s="4">
        <f>IF(AND(ISNUMBER(I268),I268&gt;0),ROUND(F268/I268,2),"Sin volumen")</f>
        <v/>
      </c>
      <c r="U268" s="4">
        <f>IF(F268&lt;5000,"Bajo",IF(F268&lt;15000,"Medio","Alto"))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TRIM(CLEAN(PROPER(D270)))</f>
        <v/>
      </c>
      <c r="Q270" s="4">
        <f>PROPER(TRIM(SUBSTITUTE(SUBSTITUTE(SUBSTITUTE(SUBSTITUTE(E270,"TRESEMME","Tresemme"),"HEAD &amp; SHOULDERS","Head &amp; Shoulders"),"ELVIVE","Elvive"),"FRUCTIS","Fructis")))</f>
        <v/>
      </c>
      <c r="R270" s="4">
        <f>COUNTIF($D$2:$D$10000,D270)&gt;1</f>
        <v/>
      </c>
      <c r="S270" s="4">
        <f>IF(H270=TRUE,"Disponible","No disponible")</f>
        <v/>
      </c>
      <c r="T270" s="4">
        <f>IF(AND(ISNUMBER(I270),I270&gt;0),ROUND(F270/I270,2),"Sin volumen")</f>
        <v/>
      </c>
      <c r="U270" s="4">
        <f>IF(F270&lt;5000,"Bajo",IF(F270&lt;15000,"Medio","Alto"))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TRIM(CLEAN(PROPER(D272)))</f>
        <v/>
      </c>
      <c r="Q272" s="4">
        <f>PROPER(TRIM(SUBSTITUTE(SUBSTITUTE(SUBSTITUTE(SUBSTITUTE(E272,"TRESEMME","Tresemme"),"HEAD &amp; SHOULDERS","Head &amp; Shoulders"),"ELVIVE","Elvive"),"FRUCTIS","Fructis")))</f>
        <v/>
      </c>
      <c r="R272" s="4">
        <f>COUNTIF($D$2:$D$10000,D272)&gt;1</f>
        <v/>
      </c>
      <c r="S272" s="4">
        <f>IF(H272=TRUE,"Disponible","No disponible")</f>
        <v/>
      </c>
      <c r="T272" s="4">
        <f>IF(AND(ISNUMBER(I272),I272&gt;0),ROUND(F272/I272,2),"Sin volumen")</f>
        <v/>
      </c>
      <c r="U272" s="4">
        <f>IF(F272&lt;5000,"Bajo",IF(F272&lt;15000,"Medio","Alto"))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TRIM(CLEAN(PROPER(D274)))</f>
        <v/>
      </c>
      <c r="Q274" s="4">
        <f>PROPER(TRIM(SUBSTITUTE(SUBSTITUTE(SUBSTITUTE(SUBSTITUTE(E274,"TRESEMME","Tresemme"),"HEAD &amp; SHOULDERS","Head &amp; Shoulders"),"ELVIVE","Elvive"),"FRUCTIS","Fructis")))</f>
        <v/>
      </c>
      <c r="R274" s="4">
        <f>COUNTIF($D$2:$D$10000,D274)&gt;1</f>
        <v/>
      </c>
      <c r="S274" s="4">
        <f>IF(H274=TRUE,"Disponible","No disponible")</f>
        <v/>
      </c>
      <c r="T274" s="4">
        <f>IF(AND(ISNUMBER(I274),I274&gt;0),ROUND(F274/I274,2),"Sin volumen")</f>
        <v/>
      </c>
      <c r="U274" s="4">
        <f>IF(F274&lt;5000,"Bajo",IF(F274&lt;15000,"Medio","Alto"))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TRIM(CLEAN(PROPER(D276)))</f>
        <v/>
      </c>
      <c r="Q276" s="4">
        <f>PROPER(TRIM(SUBSTITUTE(SUBSTITUTE(SUBSTITUTE(SUBSTITUTE(E276,"TRESEMME","Tresemme"),"HEAD &amp; SHOULDERS","Head &amp; Shoulders"),"ELVIVE","Elvive"),"FRUCTIS","Fructis")))</f>
        <v/>
      </c>
      <c r="R276" s="4">
        <f>COUNTIF($D$2:$D$10000,D276)&gt;1</f>
        <v/>
      </c>
      <c r="S276" s="4">
        <f>IF(H276=TRUE,"Disponible","No disponible")</f>
        <v/>
      </c>
      <c r="T276" s="4">
        <f>IF(AND(ISNUMBER(I276),I276&gt;0),ROUND(F276/I276,2),"Sin volumen")</f>
        <v/>
      </c>
      <c r="U276" s="4">
        <f>IF(F276&lt;5000,"Bajo",IF(F276&lt;15000,"Medio","Alto"))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TRIM(CLEAN(PROPER(D278)))</f>
        <v/>
      </c>
      <c r="Q278" s="4">
        <f>PROPER(TRIM(SUBSTITUTE(SUBSTITUTE(SUBSTITUTE(SUBSTITUTE(E278,"TRESEMME","Tresemme"),"HEAD &amp; SHOULDERS","Head &amp; Shoulders"),"ELVIVE","Elvive"),"FRUCTIS","Fructis")))</f>
        <v/>
      </c>
      <c r="R278" s="4">
        <f>COUNTIF($D$2:$D$10000,D278)&gt;1</f>
        <v/>
      </c>
      <c r="S278" s="4">
        <f>IF(H278=TRUE,"Disponible","No disponible")</f>
        <v/>
      </c>
      <c r="T278" s="4">
        <f>IF(AND(ISNUMBER(I278),I278&gt;0),ROUND(F278/I278,2),"Sin volumen")</f>
        <v/>
      </c>
      <c r="U278" s="4">
        <f>IF(F278&lt;5000,"Bajo",IF(F278&lt;15000,"Medio","Alto"))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TRIM(CLEAN(PROPER(D280)))</f>
        <v/>
      </c>
      <c r="Q280" s="4">
        <f>PROPER(TRIM(SUBSTITUTE(SUBSTITUTE(SUBSTITUTE(SUBSTITUTE(E280,"TRESEMME","Tresemme"),"HEAD &amp; SHOULDERS","Head &amp; Shoulders"),"ELVIVE","Elvive"),"FRUCTIS","Fructis")))</f>
        <v/>
      </c>
      <c r="R280" s="4">
        <f>COUNTIF($D$2:$D$10000,D280)&gt;1</f>
        <v/>
      </c>
      <c r="S280" s="4">
        <f>IF(H280=TRUE,"Disponible","No disponible")</f>
        <v/>
      </c>
      <c r="T280" s="4">
        <f>IF(AND(ISNUMBER(I280),I280&gt;0),ROUND(F280/I280,2),"Sin volumen")</f>
        <v/>
      </c>
      <c r="U280" s="4">
        <f>IF(F280&lt;5000,"Bajo",IF(F280&lt;15000,"Medio","Alto"))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TRIM(CLEAN(PROPER(D282)))</f>
        <v/>
      </c>
      <c r="Q282" s="4">
        <f>PROPER(TRIM(SUBSTITUTE(SUBSTITUTE(SUBSTITUTE(SUBSTITUTE(E282,"TRESEMME","Tresemme"),"HEAD &amp; SHOULDERS","Head &amp; Shoulders"),"ELVIVE","Elvive"),"FRUCTIS","Fructis")))</f>
        <v/>
      </c>
      <c r="R282" s="4">
        <f>COUNTIF($D$2:$D$10000,D282)&gt;1</f>
        <v/>
      </c>
      <c r="S282" s="4">
        <f>IF(H282=TRUE,"Disponible","No disponible")</f>
        <v/>
      </c>
      <c r="T282" s="4">
        <f>IF(AND(ISNUMBER(I282),I282&gt;0),ROUND(F282/I282,2),"Sin volumen")</f>
        <v/>
      </c>
      <c r="U282" s="4">
        <f>IF(F282&lt;5000,"Bajo",IF(F282&lt;15000,"Medio","Alto"))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TRIM(CLEAN(PROPER(D284)))</f>
        <v/>
      </c>
      <c r="Q284" s="4">
        <f>PROPER(TRIM(SUBSTITUTE(SUBSTITUTE(SUBSTITUTE(SUBSTITUTE(E284,"TRESEMME","Tresemme"),"HEAD &amp; SHOULDERS","Head &amp; Shoulders"),"ELVIVE","Elvive"),"FRUCTIS","Fructis")))</f>
        <v/>
      </c>
      <c r="R284" s="4">
        <f>COUNTIF($D$2:$D$10000,D284)&gt;1</f>
        <v/>
      </c>
      <c r="S284" s="4">
        <f>IF(H284=TRUE,"Disponible","No disponible")</f>
        <v/>
      </c>
      <c r="T284" s="4">
        <f>IF(AND(ISNUMBER(I284),I284&gt;0),ROUND(F284/I284,2),"Sin volumen")</f>
        <v/>
      </c>
      <c r="U284" s="4">
        <f>IF(F284&lt;5000,"Bajo",IF(F284&lt;15000,"Medio","Alto"))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TRIM(CLEAN(PROPER(D286)))</f>
        <v/>
      </c>
      <c r="Q286" s="4">
        <f>PROPER(TRIM(SUBSTITUTE(SUBSTITUTE(SUBSTITUTE(SUBSTITUTE(E286,"TRESEMME","Tresemme"),"HEAD &amp; SHOULDERS","Head &amp; Shoulders"),"ELVIVE","Elvive"),"FRUCTIS","Fructis")))</f>
        <v/>
      </c>
      <c r="R286" s="4">
        <f>COUNTIF($D$2:$D$10000,D286)&gt;1</f>
        <v/>
      </c>
      <c r="S286" s="4">
        <f>IF(H286=TRUE,"Disponible","No disponible")</f>
        <v/>
      </c>
      <c r="T286" s="4">
        <f>IF(AND(ISNUMBER(I286),I286&gt;0),ROUND(F286/I286,2),"Sin volumen")</f>
        <v/>
      </c>
      <c r="U286" s="4">
        <f>IF(F286&lt;5000,"Bajo",IF(F286&lt;15000,"Medio","Alto"))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TRIM(CLEAN(PROPER(D288)))</f>
        <v/>
      </c>
      <c r="Q288" s="4">
        <f>PROPER(TRIM(SUBSTITUTE(SUBSTITUTE(SUBSTITUTE(SUBSTITUTE(E288,"TRESEMME","Tresemme"),"HEAD &amp; SHOULDERS","Head &amp; Shoulders"),"ELVIVE","Elvive"),"FRUCTIS","Fructis")))</f>
        <v/>
      </c>
      <c r="R288" s="4">
        <f>COUNTIF($D$2:$D$10000,D288)&gt;1</f>
        <v/>
      </c>
      <c r="S288" s="4">
        <f>IF(H288=TRUE,"Disponible","No disponible")</f>
        <v/>
      </c>
      <c r="T288" s="4">
        <f>IF(AND(ISNUMBER(I288),I288&gt;0),ROUND(F288/I288,2),"Sin volumen")</f>
        <v/>
      </c>
      <c r="U288" s="4">
        <f>IF(F288&lt;5000,"Bajo",IF(F288&lt;15000,"Medio","Alto"))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TRIM(CLEAN(PROPER(D290)))</f>
        <v/>
      </c>
      <c r="Q290" s="4">
        <f>PROPER(TRIM(SUBSTITUTE(SUBSTITUTE(SUBSTITUTE(SUBSTITUTE(E290,"TRESEMME","Tresemme"),"HEAD &amp; SHOULDERS","Head &amp; Shoulders"),"ELVIVE","Elvive"),"FRUCTIS","Fructis")))</f>
        <v/>
      </c>
      <c r="R290" s="4">
        <f>COUNTIF($D$2:$D$10000,D290)&gt;1</f>
        <v/>
      </c>
      <c r="S290" s="4">
        <f>IF(H290=TRUE,"Disponible","No disponible")</f>
        <v/>
      </c>
      <c r="T290" s="4">
        <f>IF(AND(ISNUMBER(I290),I290&gt;0),ROUND(F290/I290,2),"Sin volumen")</f>
        <v/>
      </c>
      <c r="U290" s="4">
        <f>IF(F290&lt;5000,"Bajo",IF(F290&lt;15000,"Medio","Alto"))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TRIM(CLEAN(PROPER(D292)))</f>
        <v/>
      </c>
      <c r="Q292" s="4">
        <f>PROPER(TRIM(SUBSTITUTE(SUBSTITUTE(SUBSTITUTE(SUBSTITUTE(E292,"TRESEMME","Tresemme"),"HEAD &amp; SHOULDERS","Head &amp; Shoulders"),"ELVIVE","Elvive"),"FRUCTIS","Fructis")))</f>
        <v/>
      </c>
      <c r="R292" s="4">
        <f>COUNTIF($D$2:$D$10000,D292)&gt;1</f>
        <v/>
      </c>
      <c r="S292" s="4">
        <f>IF(H292=TRUE,"Disponible","No disponible")</f>
        <v/>
      </c>
      <c r="T292" s="4">
        <f>IF(AND(ISNUMBER(I292),I292&gt;0),ROUND(F292/I292,2),"Sin volumen")</f>
        <v/>
      </c>
      <c r="U292" s="4">
        <f>IF(F292&lt;5000,"Bajo",IF(F292&lt;15000,"Medio","Alto"))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TRIM(CLEAN(PROPER(D294)))</f>
        <v/>
      </c>
      <c r="Q294" s="4">
        <f>PROPER(TRIM(SUBSTITUTE(SUBSTITUTE(SUBSTITUTE(SUBSTITUTE(E294,"TRESEMME","Tresemme"),"HEAD &amp; SHOULDERS","Head &amp; Shoulders"),"ELVIVE","Elvive"),"FRUCTIS","Fructis")))</f>
        <v/>
      </c>
      <c r="R294" s="4">
        <f>COUNTIF($D$2:$D$10000,D294)&gt;1</f>
        <v/>
      </c>
      <c r="S294" s="4">
        <f>IF(H294=TRUE,"Disponible","No disponible")</f>
        <v/>
      </c>
      <c r="T294" s="4">
        <f>IF(AND(ISNUMBER(I294),I294&gt;0),ROUND(F294/I294,2),"Sin volumen")</f>
        <v/>
      </c>
      <c r="U294" s="4">
        <f>IF(F294&lt;5000,"Bajo",IF(F294&lt;15000,"Medio","Alto"))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TRIM(CLEAN(PROPER(D296)))</f>
        <v/>
      </c>
      <c r="Q296" s="4">
        <f>PROPER(TRIM(SUBSTITUTE(SUBSTITUTE(SUBSTITUTE(SUBSTITUTE(E296,"TRESEMME","Tresemme"),"HEAD &amp; SHOULDERS","Head &amp; Shoulders"),"ELVIVE","Elvive"),"FRUCTIS","Fructis")))</f>
        <v/>
      </c>
      <c r="R296" s="4">
        <f>COUNTIF($D$2:$D$10000,D296)&gt;1</f>
        <v/>
      </c>
      <c r="S296" s="4">
        <f>IF(H296=TRUE,"Disponible","No disponible")</f>
        <v/>
      </c>
      <c r="T296" s="4">
        <f>IF(AND(ISNUMBER(I296),I296&gt;0),ROUND(F296/I296,2),"Sin volumen")</f>
        <v/>
      </c>
      <c r="U296" s="4">
        <f>IF(F296&lt;5000,"Bajo",IF(F296&lt;15000,"Medio","Alto"))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TRIM(CLEAN(PROPER(D298)))</f>
        <v/>
      </c>
      <c r="Q298" s="4">
        <f>PROPER(TRIM(SUBSTITUTE(SUBSTITUTE(SUBSTITUTE(SUBSTITUTE(E298,"TRESEMME","Tresemme"),"HEAD &amp; SHOULDERS","Head &amp; Shoulders"),"ELVIVE","Elvive"),"FRUCTIS","Fructis")))</f>
        <v/>
      </c>
      <c r="R298" s="4">
        <f>COUNTIF($D$2:$D$10000,D298)&gt;1</f>
        <v/>
      </c>
      <c r="S298" s="4">
        <f>IF(H298=TRUE,"Disponible","No disponible")</f>
        <v/>
      </c>
      <c r="T298" s="4">
        <f>IF(AND(ISNUMBER(I298),I298&gt;0),ROUND(F298/I298,2),"Sin volumen")</f>
        <v/>
      </c>
      <c r="U298" s="4">
        <f>IF(F298&lt;5000,"Bajo",IF(F298&lt;15000,"Medio","Alto"))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TRIM(CLEAN(PROPER(D300)))</f>
        <v/>
      </c>
      <c r="Q300" s="4">
        <f>PROPER(TRIM(SUBSTITUTE(SUBSTITUTE(SUBSTITUTE(SUBSTITUTE(E300,"TRESEMME","Tresemme"),"HEAD &amp; SHOULDERS","Head &amp; Shoulders"),"ELVIVE","Elvive"),"FRUCTIS","Fructis")))</f>
        <v/>
      </c>
      <c r="R300" s="4">
        <f>COUNTIF($D$2:$D$10000,D300)&gt;1</f>
        <v/>
      </c>
      <c r="S300" s="4">
        <f>IF(H300=TRUE,"Disponible","No disponible")</f>
        <v/>
      </c>
      <c r="T300" s="4">
        <f>IF(AND(ISNUMBER(I300),I300&gt;0),ROUND(F300/I300,2),"Sin volumen")</f>
        <v/>
      </c>
      <c r="U300" s="4">
        <f>IF(F300&lt;5000,"Bajo",IF(F300&lt;15000,"Medio","Alto"))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TRIM(CLEAN(PROPER(D302)))</f>
        <v/>
      </c>
      <c r="Q302" s="4">
        <f>PROPER(TRIM(SUBSTITUTE(SUBSTITUTE(SUBSTITUTE(SUBSTITUTE(E302,"TRESEMME","Tresemme"),"HEAD &amp; SHOULDERS","Head &amp; Shoulders"),"ELVIVE","Elvive"),"FRUCTIS","Fructis")))</f>
        <v/>
      </c>
      <c r="R302" s="4">
        <f>COUNTIF($D$2:$D$10000,D302)&gt;1</f>
        <v/>
      </c>
      <c r="S302" s="4">
        <f>IF(H302=TRUE,"Disponible","No disponible")</f>
        <v/>
      </c>
      <c r="T302" s="4">
        <f>IF(AND(ISNUMBER(I302),I302&gt;0),ROUND(F302/I302,2),"Sin volumen")</f>
        <v/>
      </c>
      <c r="U302" s="4">
        <f>IF(F302&lt;5000,"Bajo",IF(F302&lt;15000,"Medio","Alto"))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TRIM(CLEAN(PROPER(D304)))</f>
        <v/>
      </c>
      <c r="Q304" s="4">
        <f>PROPER(TRIM(SUBSTITUTE(SUBSTITUTE(SUBSTITUTE(SUBSTITUTE(E304,"TRESEMME","Tresemme"),"HEAD &amp; SHOULDERS","Head &amp; Shoulders"),"ELVIVE","Elvive"),"FRUCTIS","Fructis")))</f>
        <v/>
      </c>
      <c r="R304" s="4">
        <f>COUNTIF($D$2:$D$10000,D304)&gt;1</f>
        <v/>
      </c>
      <c r="S304" s="4">
        <f>IF(H304=TRUE,"Disponible","No disponible")</f>
        <v/>
      </c>
      <c r="T304" s="4">
        <f>IF(AND(ISNUMBER(I304),I304&gt;0),ROUND(F304/I304,2),"Sin volumen")</f>
        <v/>
      </c>
      <c r="U304" s="4">
        <f>IF(F304&lt;5000,"Bajo",IF(F304&lt;15000,"Medio","Alto"))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TRIM(CLEAN(PROPER(D306)))</f>
        <v/>
      </c>
      <c r="Q306" s="4">
        <f>PROPER(TRIM(SUBSTITUTE(SUBSTITUTE(SUBSTITUTE(SUBSTITUTE(E306,"TRESEMME","Tresemme"),"HEAD &amp; SHOULDERS","Head &amp; Shoulders"),"ELVIVE","Elvive"),"FRUCTIS","Fructis")))</f>
        <v/>
      </c>
      <c r="R306" s="4">
        <f>COUNTIF($D$2:$D$10000,D306)&gt;1</f>
        <v/>
      </c>
      <c r="S306" s="4">
        <f>IF(H306=TRUE,"Disponible","No disponible")</f>
        <v/>
      </c>
      <c r="T306" s="4">
        <f>IF(AND(ISNUMBER(I306),I306&gt;0),ROUND(F306/I306,2),"Sin volumen")</f>
        <v/>
      </c>
      <c r="U306" s="4">
        <f>IF(F306&lt;5000,"Bajo",IF(F306&lt;15000,"Medio","Alto"))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TRIM(CLEAN(PROPER(D308)))</f>
        <v/>
      </c>
      <c r="Q308" s="4">
        <f>PROPER(TRIM(SUBSTITUTE(SUBSTITUTE(SUBSTITUTE(SUBSTITUTE(E308,"TRESEMME","Tresemme"),"HEAD &amp; SHOULDERS","Head &amp; Shoulders"),"ELVIVE","Elvive"),"FRUCTIS","Fructis")))</f>
        <v/>
      </c>
      <c r="R308" s="4">
        <f>COUNTIF($D$2:$D$10000,D308)&gt;1</f>
        <v/>
      </c>
      <c r="S308" s="4">
        <f>IF(H308=TRUE,"Disponible","No disponible")</f>
        <v/>
      </c>
      <c r="T308" s="4">
        <f>IF(AND(ISNUMBER(I308),I308&gt;0),ROUND(F308/I308,2),"Sin volumen")</f>
        <v/>
      </c>
      <c r="U308" s="4">
        <f>IF(F308&lt;5000,"Bajo",IF(F308&lt;15000,"Medio","Alto"))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TRIM(CLEAN(PROPER(D310)))</f>
        <v/>
      </c>
      <c r="Q310" s="4">
        <f>PROPER(TRIM(SUBSTITUTE(SUBSTITUTE(SUBSTITUTE(SUBSTITUTE(E310,"TRESEMME","Tresemme"),"HEAD &amp; SHOULDERS","Head &amp; Shoulders"),"ELVIVE","Elvive"),"FRUCTIS","Fructis")))</f>
        <v/>
      </c>
      <c r="R310" s="4">
        <f>COUNTIF($D$2:$D$10000,D310)&gt;1</f>
        <v/>
      </c>
      <c r="S310" s="4">
        <f>IF(H310=TRUE,"Disponible","No disponible")</f>
        <v/>
      </c>
      <c r="T310" s="4">
        <f>IF(AND(ISNUMBER(I310),I310&gt;0),ROUND(F310/I310,2),"Sin volumen")</f>
        <v/>
      </c>
      <c r="U310" s="4">
        <f>IF(F310&lt;5000,"Bajo",IF(F310&lt;15000,"Medio","Alto"))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TRIM(CLEAN(PROPER(D312)))</f>
        <v/>
      </c>
      <c r="Q312" s="4">
        <f>PROPER(TRIM(SUBSTITUTE(SUBSTITUTE(SUBSTITUTE(SUBSTITUTE(E312,"TRESEMME","Tresemme"),"HEAD &amp; SHOULDERS","Head &amp; Shoulders"),"ELVIVE","Elvive"),"FRUCTIS","Fructis")))</f>
        <v/>
      </c>
      <c r="R312" s="4">
        <f>COUNTIF($D$2:$D$10000,D312)&gt;1</f>
        <v/>
      </c>
      <c r="S312" s="4">
        <f>IF(H312=TRUE,"Disponible","No disponible")</f>
        <v/>
      </c>
      <c r="T312" s="4">
        <f>IF(AND(ISNUMBER(I312),I312&gt;0),ROUND(F312/I312,2),"Sin volumen")</f>
        <v/>
      </c>
      <c r="U312" s="4">
        <f>IF(F312&lt;5000,"Bajo",IF(F312&lt;15000,"Medio","Alto"))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TRIM(CLEAN(PROPER(D314)))</f>
        <v/>
      </c>
      <c r="Q314" s="4">
        <f>PROPER(TRIM(SUBSTITUTE(SUBSTITUTE(SUBSTITUTE(SUBSTITUTE(E314,"TRESEMME","Tresemme"),"HEAD &amp; SHOULDERS","Head &amp; Shoulders"),"ELVIVE","Elvive"),"FRUCTIS","Fructis")))</f>
        <v/>
      </c>
      <c r="R314" s="4">
        <f>COUNTIF($D$2:$D$10000,D314)&gt;1</f>
        <v/>
      </c>
      <c r="S314" s="4">
        <f>IF(H314=TRUE,"Disponible","No disponible")</f>
        <v/>
      </c>
      <c r="T314" s="4">
        <f>IF(AND(ISNUMBER(I314),I314&gt;0),ROUND(F314/I314,2),"Sin volumen")</f>
        <v/>
      </c>
      <c r="U314" s="4">
        <f>IF(F314&lt;5000,"Bajo",IF(F314&lt;15000,"Medio","Alto"))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TRIM(CLEAN(PROPER(D316)))</f>
        <v/>
      </c>
      <c r="Q316" s="4">
        <f>PROPER(TRIM(SUBSTITUTE(SUBSTITUTE(SUBSTITUTE(SUBSTITUTE(E316,"TRESEMME","Tresemme"),"HEAD &amp; SHOULDERS","Head &amp; Shoulders"),"ELVIVE","Elvive"),"FRUCTIS","Fructis")))</f>
        <v/>
      </c>
      <c r="R316" s="4">
        <f>COUNTIF($D$2:$D$10000,D316)&gt;1</f>
        <v/>
      </c>
      <c r="S316" s="4">
        <f>IF(H316=TRUE,"Disponible","No disponible")</f>
        <v/>
      </c>
      <c r="T316" s="4">
        <f>IF(AND(ISNUMBER(I316),I316&gt;0),ROUND(F316/I316,2),"Sin volumen")</f>
        <v/>
      </c>
      <c r="U316" s="4">
        <f>IF(F316&lt;5000,"Bajo",IF(F316&lt;15000,"Medio","Alto"))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TRIM(CLEAN(PROPER(D318)))</f>
        <v/>
      </c>
      <c r="Q318" s="4">
        <f>PROPER(TRIM(SUBSTITUTE(SUBSTITUTE(SUBSTITUTE(SUBSTITUTE(E318,"TRESEMME","Tresemme"),"HEAD &amp; SHOULDERS","Head &amp; Shoulders"),"ELVIVE","Elvive"),"FRUCTIS","Fructis")))</f>
        <v/>
      </c>
      <c r="R318" s="4">
        <f>COUNTIF($D$2:$D$10000,D318)&gt;1</f>
        <v/>
      </c>
      <c r="S318" s="4">
        <f>IF(H318=TRUE,"Disponible","No disponible")</f>
        <v/>
      </c>
      <c r="T318" s="4">
        <f>IF(AND(ISNUMBER(I318),I318&gt;0),ROUND(F318/I318,2),"Sin volumen")</f>
        <v/>
      </c>
      <c r="U318" s="4">
        <f>IF(F318&lt;5000,"Bajo",IF(F318&lt;15000,"Medio","Alto"))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TRIM(CLEAN(PROPER(D320)))</f>
        <v/>
      </c>
      <c r="Q320" s="4">
        <f>PROPER(TRIM(SUBSTITUTE(SUBSTITUTE(SUBSTITUTE(SUBSTITUTE(E320,"TRESEMME","Tresemme"),"HEAD &amp; SHOULDERS","Head &amp; Shoulders"),"ELVIVE","Elvive"),"FRUCTIS","Fructis")))</f>
        <v/>
      </c>
      <c r="R320" s="4">
        <f>COUNTIF($D$2:$D$10000,D320)&gt;1</f>
        <v/>
      </c>
      <c r="S320" s="4">
        <f>IF(H320=TRUE,"Disponible","No disponible")</f>
        <v/>
      </c>
      <c r="T320" s="4">
        <f>IF(AND(ISNUMBER(I320),I320&gt;0),ROUND(F320/I320,2),"Sin volumen")</f>
        <v/>
      </c>
      <c r="U320" s="4">
        <f>IF(F320&lt;5000,"Bajo",IF(F320&lt;15000,"Medio","Alto"))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TRIM(CLEAN(PROPER(D322)))</f>
        <v/>
      </c>
      <c r="Q322" s="4">
        <f>PROPER(TRIM(SUBSTITUTE(SUBSTITUTE(SUBSTITUTE(SUBSTITUTE(E322,"TRESEMME","Tresemme"),"HEAD &amp; SHOULDERS","Head &amp; Shoulders"),"ELVIVE","Elvive"),"FRUCTIS","Fructis")))</f>
        <v/>
      </c>
      <c r="R322" s="4">
        <f>COUNTIF($D$2:$D$10000,D322)&gt;1</f>
        <v/>
      </c>
      <c r="S322" s="4">
        <f>IF(H322=TRUE,"Disponible","No disponible")</f>
        <v/>
      </c>
      <c r="T322" s="4">
        <f>IF(AND(ISNUMBER(I322),I322&gt;0),ROUND(F322/I322,2),"Sin volumen")</f>
        <v/>
      </c>
      <c r="U322" s="4">
        <f>IF(F322&lt;5000,"Bajo",IF(F322&lt;15000,"Medio","Alto"))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TRIM(CLEAN(PROPER(D324)))</f>
        <v/>
      </c>
      <c r="Q324" s="4">
        <f>PROPER(TRIM(SUBSTITUTE(SUBSTITUTE(SUBSTITUTE(SUBSTITUTE(E324,"TRESEMME","Tresemme"),"HEAD &amp; SHOULDERS","Head &amp; Shoulders"),"ELVIVE","Elvive"),"FRUCTIS","Fructis")))</f>
        <v/>
      </c>
      <c r="R324" s="4">
        <f>COUNTIF($D$2:$D$10000,D324)&gt;1</f>
        <v/>
      </c>
      <c r="S324" s="4">
        <f>IF(H324=TRUE,"Disponible","No disponible")</f>
        <v/>
      </c>
      <c r="T324" s="4">
        <f>IF(AND(ISNUMBER(I324),I324&gt;0),ROUND(F324/I324,2),"Sin volumen")</f>
        <v/>
      </c>
      <c r="U324" s="4">
        <f>IF(F324&lt;5000,"Bajo",IF(F324&lt;15000,"Medio","Alto"))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TRIM(CLEAN(PROPER(D326)))</f>
        <v/>
      </c>
      <c r="Q326" s="4">
        <f>PROPER(TRIM(SUBSTITUTE(SUBSTITUTE(SUBSTITUTE(SUBSTITUTE(E326,"TRESEMME","Tresemme"),"HEAD &amp; SHOULDERS","Head &amp; Shoulders"),"ELVIVE","Elvive"),"FRUCTIS","Fructis")))</f>
        <v/>
      </c>
      <c r="R326" s="4">
        <f>COUNTIF($D$2:$D$10000,D326)&gt;1</f>
        <v/>
      </c>
      <c r="S326" s="4">
        <f>IF(H326=TRUE,"Disponible","No disponible")</f>
        <v/>
      </c>
      <c r="T326" s="4">
        <f>IF(AND(ISNUMBER(I326),I326&gt;0),ROUND(F326/I326,2),"Sin volumen")</f>
        <v/>
      </c>
      <c r="U326" s="4">
        <f>IF(F326&lt;5000,"Bajo",IF(F326&lt;15000,"Medio","Alto"))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TRIM(CLEAN(PROPER(D328)))</f>
        <v/>
      </c>
      <c r="Q328" s="4">
        <f>PROPER(TRIM(SUBSTITUTE(SUBSTITUTE(SUBSTITUTE(SUBSTITUTE(E328,"TRESEMME","Tresemme"),"HEAD &amp; SHOULDERS","Head &amp; Shoulders"),"ELVIVE","Elvive"),"FRUCTIS","Fructis")))</f>
        <v/>
      </c>
      <c r="R328" s="4">
        <f>COUNTIF($D$2:$D$10000,D328)&gt;1</f>
        <v/>
      </c>
      <c r="S328" s="4">
        <f>IF(H328=TRUE,"Disponible","No disponible")</f>
        <v/>
      </c>
      <c r="T328" s="4">
        <f>IF(AND(ISNUMBER(I328),I328&gt;0),ROUND(F328/I328,2),"Sin volumen")</f>
        <v/>
      </c>
      <c r="U328" s="4">
        <f>IF(F328&lt;5000,"Bajo",IF(F328&lt;15000,"Medio","Alto"))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TRIM(CLEAN(PROPER(D330)))</f>
        <v/>
      </c>
      <c r="Q330" s="4">
        <f>PROPER(TRIM(SUBSTITUTE(SUBSTITUTE(SUBSTITUTE(SUBSTITUTE(E330,"TRESEMME","Tresemme"),"HEAD &amp; SHOULDERS","Head &amp; Shoulders"),"ELVIVE","Elvive"),"FRUCTIS","Fructis")))</f>
        <v/>
      </c>
      <c r="R330" s="4">
        <f>COUNTIF($D$2:$D$10000,D330)&gt;1</f>
        <v/>
      </c>
      <c r="S330" s="4">
        <f>IF(H330=TRUE,"Disponible","No disponible")</f>
        <v/>
      </c>
      <c r="T330" s="4">
        <f>IF(AND(ISNUMBER(I330),I330&gt;0),ROUND(F330/I330,2),"Sin volumen")</f>
        <v/>
      </c>
      <c r="U330" s="4">
        <f>IF(F330&lt;5000,"Bajo",IF(F330&lt;15000,"Medio","Alto"))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TRIM(CLEAN(PROPER(D332)))</f>
        <v/>
      </c>
      <c r="Q332" s="4">
        <f>PROPER(TRIM(SUBSTITUTE(SUBSTITUTE(SUBSTITUTE(SUBSTITUTE(E332,"TRESEMME","Tresemme"),"HEAD &amp; SHOULDERS","Head &amp; Shoulders"),"ELVIVE","Elvive"),"FRUCTIS","Fructis")))</f>
        <v/>
      </c>
      <c r="R332" s="4">
        <f>COUNTIF($D$2:$D$10000,D332)&gt;1</f>
        <v/>
      </c>
      <c r="S332" s="4">
        <f>IF(H332=TRUE,"Disponible","No disponible")</f>
        <v/>
      </c>
      <c r="T332" s="4">
        <f>IF(AND(ISNUMBER(I332),I332&gt;0),ROUND(F332/I332,2),"Sin volumen")</f>
        <v/>
      </c>
      <c r="U332" s="4">
        <f>IF(F332&lt;5000,"Bajo",IF(F332&lt;15000,"Medio","Alto"))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TRIM(CLEAN(PROPER(D334)))</f>
        <v/>
      </c>
      <c r="Q334" s="4">
        <f>PROPER(TRIM(SUBSTITUTE(SUBSTITUTE(SUBSTITUTE(SUBSTITUTE(E334,"TRESEMME","Tresemme"),"HEAD &amp; SHOULDERS","Head &amp; Shoulders"),"ELVIVE","Elvive"),"FRUCTIS","Fructis")))</f>
        <v/>
      </c>
      <c r="R334" s="4">
        <f>COUNTIF($D$2:$D$10000,D334)&gt;1</f>
        <v/>
      </c>
      <c r="S334" s="4">
        <f>IF(H334=TRUE,"Disponible","No disponible")</f>
        <v/>
      </c>
      <c r="T334" s="4">
        <f>IF(AND(ISNUMBER(I334),I334&gt;0),ROUND(F334/I334,2),"Sin volumen")</f>
        <v/>
      </c>
      <c r="U334" s="4">
        <f>IF(F334&lt;5000,"Bajo",IF(F334&lt;15000,"Medio","Alto"))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TRIM(CLEAN(PROPER(D336)))</f>
        <v/>
      </c>
      <c r="Q336" s="4">
        <f>PROPER(TRIM(SUBSTITUTE(SUBSTITUTE(SUBSTITUTE(SUBSTITUTE(E336,"TRESEMME","Tresemme"),"HEAD &amp; SHOULDERS","Head &amp; Shoulders"),"ELVIVE","Elvive"),"FRUCTIS","Fructis")))</f>
        <v/>
      </c>
      <c r="R336" s="4">
        <f>COUNTIF($D$2:$D$10000,D336)&gt;1</f>
        <v/>
      </c>
      <c r="S336" s="4">
        <f>IF(H336=TRUE,"Disponible","No disponible")</f>
        <v/>
      </c>
      <c r="T336" s="4">
        <f>IF(AND(ISNUMBER(I336),I336&gt;0),ROUND(F336/I336,2),"Sin volumen")</f>
        <v/>
      </c>
      <c r="U336" s="4">
        <f>IF(F336&lt;5000,"Bajo",IF(F336&lt;15000,"Medio","Alto"))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TRIM(CLEAN(PROPER(D338)))</f>
        <v/>
      </c>
      <c r="Q338" s="4">
        <f>PROPER(TRIM(SUBSTITUTE(SUBSTITUTE(SUBSTITUTE(SUBSTITUTE(E338,"TRESEMME","Tresemme"),"HEAD &amp; SHOULDERS","Head &amp; Shoulders"),"ELVIVE","Elvive"),"FRUCTIS","Fructis")))</f>
        <v/>
      </c>
      <c r="R338" s="4">
        <f>COUNTIF($D$2:$D$10000,D338)&gt;1</f>
        <v/>
      </c>
      <c r="S338" s="4">
        <f>IF(H338=TRUE,"Disponible","No disponible")</f>
        <v/>
      </c>
      <c r="T338" s="4">
        <f>IF(AND(ISNUMBER(I338),I338&gt;0),ROUND(F338/I338,2),"Sin volumen")</f>
        <v/>
      </c>
      <c r="U338" s="4">
        <f>IF(F338&lt;5000,"Bajo",IF(F338&lt;15000,"Medio","Alto"))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TRIM(CLEAN(PROPER(D340)))</f>
        <v/>
      </c>
      <c r="Q340" s="4">
        <f>PROPER(TRIM(SUBSTITUTE(SUBSTITUTE(SUBSTITUTE(SUBSTITUTE(E340,"TRESEMME","Tresemme"),"HEAD &amp; SHOULDERS","Head &amp; Shoulders"),"ELVIVE","Elvive"),"FRUCTIS","Fructis")))</f>
        <v/>
      </c>
      <c r="R340" s="4">
        <f>COUNTIF($D$2:$D$10000,D340)&gt;1</f>
        <v/>
      </c>
      <c r="S340" s="4">
        <f>IF(H340=TRUE,"Disponible","No disponible")</f>
        <v/>
      </c>
      <c r="T340" s="4">
        <f>IF(AND(ISNUMBER(I340),I340&gt;0),ROUND(F340/I340,2),"Sin volumen")</f>
        <v/>
      </c>
      <c r="U340" s="4">
        <f>IF(F340&lt;5000,"Bajo",IF(F340&lt;15000,"Medio","Alto"))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TRIM(CLEAN(PROPER(D342)))</f>
        <v/>
      </c>
      <c r="Q342" s="4">
        <f>PROPER(TRIM(SUBSTITUTE(SUBSTITUTE(SUBSTITUTE(SUBSTITUTE(E342,"TRESEMME","Tresemme"),"HEAD &amp; SHOULDERS","Head &amp; Shoulders"),"ELVIVE","Elvive"),"FRUCTIS","Fructis")))</f>
        <v/>
      </c>
      <c r="R342" s="4">
        <f>COUNTIF($D$2:$D$10000,D342)&gt;1</f>
        <v/>
      </c>
      <c r="S342" s="4">
        <f>IF(H342=TRUE,"Disponible","No disponible")</f>
        <v/>
      </c>
      <c r="T342" s="4">
        <f>IF(AND(ISNUMBER(I342),I342&gt;0),ROUND(F342/I342,2),"Sin volumen")</f>
        <v/>
      </c>
      <c r="U342" s="4">
        <f>IF(F342&lt;5000,"Bajo",IF(F342&lt;15000,"Medio","Alto"))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TRIM(CLEAN(PROPER(D344)))</f>
        <v/>
      </c>
      <c r="Q344" s="4">
        <f>PROPER(TRIM(SUBSTITUTE(SUBSTITUTE(SUBSTITUTE(SUBSTITUTE(E344,"TRESEMME","Tresemme"),"HEAD &amp; SHOULDERS","Head &amp; Shoulders"),"ELVIVE","Elvive"),"FRUCTIS","Fructis")))</f>
        <v/>
      </c>
      <c r="R344" s="4">
        <f>COUNTIF($D$2:$D$10000,D344)&gt;1</f>
        <v/>
      </c>
      <c r="S344" s="4">
        <f>IF(H344=TRUE,"Disponible","No disponible")</f>
        <v/>
      </c>
      <c r="T344" s="4">
        <f>IF(AND(ISNUMBER(I344),I344&gt;0),ROUND(F344/I344,2),"Sin volumen")</f>
        <v/>
      </c>
      <c r="U344" s="4">
        <f>IF(F344&lt;5000,"Bajo",IF(F344&lt;15000,"Medio","Alto"))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TRIM(CLEAN(PROPER(D346)))</f>
        <v/>
      </c>
      <c r="Q346" s="4">
        <f>PROPER(TRIM(SUBSTITUTE(SUBSTITUTE(SUBSTITUTE(SUBSTITUTE(E346,"TRESEMME","Tresemme"),"HEAD &amp; SHOULDERS","Head &amp; Shoulders"),"ELVIVE","Elvive"),"FRUCTIS","Fructis")))</f>
        <v/>
      </c>
      <c r="R346" s="4">
        <f>COUNTIF($D$2:$D$10000,D346)&gt;1</f>
        <v/>
      </c>
      <c r="S346" s="4">
        <f>IF(H346=TRUE,"Disponible","No disponible")</f>
        <v/>
      </c>
      <c r="T346" s="4">
        <f>IF(AND(ISNUMBER(I346),I346&gt;0),ROUND(F346/I346,2),"Sin volumen")</f>
        <v/>
      </c>
      <c r="U346" s="4">
        <f>IF(F346&lt;5000,"Bajo",IF(F346&lt;15000,"Medio","Alto"))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TRIM(CLEAN(PROPER(D348)))</f>
        <v/>
      </c>
      <c r="Q348" s="4">
        <f>PROPER(TRIM(SUBSTITUTE(SUBSTITUTE(SUBSTITUTE(SUBSTITUTE(E348,"TRESEMME","Tresemme"),"HEAD &amp; SHOULDERS","Head &amp; Shoulders"),"ELVIVE","Elvive"),"FRUCTIS","Fructis")))</f>
        <v/>
      </c>
      <c r="R348" s="4">
        <f>COUNTIF($D$2:$D$10000,D348)&gt;1</f>
        <v/>
      </c>
      <c r="S348" s="4">
        <f>IF(H348=TRUE,"Disponible","No disponible")</f>
        <v/>
      </c>
      <c r="T348" s="4">
        <f>IF(AND(ISNUMBER(I348),I348&gt;0),ROUND(F348/I348,2),"Sin volumen")</f>
        <v/>
      </c>
      <c r="U348" s="4">
        <f>IF(F348&lt;5000,"Bajo",IF(F348&lt;15000,"Medio","Alto"))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TRIM(CLEAN(PROPER(D350)))</f>
        <v/>
      </c>
      <c r="Q350" s="4">
        <f>PROPER(TRIM(SUBSTITUTE(SUBSTITUTE(SUBSTITUTE(SUBSTITUTE(E350,"TRESEMME","Tresemme"),"HEAD &amp; SHOULDERS","Head &amp; Shoulders"),"ELVIVE","Elvive"),"FRUCTIS","Fructis")))</f>
        <v/>
      </c>
      <c r="R350" s="4">
        <f>COUNTIF($D$2:$D$10000,D350)&gt;1</f>
        <v/>
      </c>
      <c r="S350" s="4">
        <f>IF(H350=TRUE,"Disponible","No disponible")</f>
        <v/>
      </c>
      <c r="T350" s="4">
        <f>IF(AND(ISNUMBER(I350),I350&gt;0),ROUND(F350/I350,2),"Sin volumen")</f>
        <v/>
      </c>
      <c r="U350" s="4">
        <f>IF(F350&lt;5000,"Bajo",IF(F350&lt;15000,"Medio","Alto"))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TRIM(CLEAN(PROPER(D352)))</f>
        <v/>
      </c>
      <c r="Q352" s="4">
        <f>PROPER(TRIM(SUBSTITUTE(SUBSTITUTE(SUBSTITUTE(SUBSTITUTE(E352,"TRESEMME","Tresemme"),"HEAD &amp; SHOULDERS","Head &amp; Shoulders"),"ELVIVE","Elvive"),"FRUCTIS","Fructis")))</f>
        <v/>
      </c>
      <c r="R352" s="4">
        <f>COUNTIF($D$2:$D$10000,D352)&gt;1</f>
        <v/>
      </c>
      <c r="S352" s="4">
        <f>IF(H352=TRUE,"Disponible","No disponible")</f>
        <v/>
      </c>
      <c r="T352" s="4">
        <f>IF(AND(ISNUMBER(I352),I352&gt;0),ROUND(F352/I352,2),"Sin volumen")</f>
        <v/>
      </c>
      <c r="U352" s="4">
        <f>IF(F352&lt;5000,"Bajo",IF(F352&lt;15000,"Medio","Alto"))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TRIM(CLEAN(PROPER(D354)))</f>
        <v/>
      </c>
      <c r="Q354" s="4">
        <f>PROPER(TRIM(SUBSTITUTE(SUBSTITUTE(SUBSTITUTE(SUBSTITUTE(E354,"TRESEMME","Tresemme"),"HEAD &amp; SHOULDERS","Head &amp; Shoulders"),"ELVIVE","Elvive"),"FRUCTIS","Fructis")))</f>
        <v/>
      </c>
      <c r="R354" s="4">
        <f>COUNTIF($D$2:$D$10000,D354)&gt;1</f>
        <v/>
      </c>
      <c r="S354" s="4">
        <f>IF(H354=TRUE,"Disponible","No disponible")</f>
        <v/>
      </c>
      <c r="T354" s="4">
        <f>IF(AND(ISNUMBER(I354),I354&gt;0),ROUND(F354/I354,2),"Sin volumen")</f>
        <v/>
      </c>
      <c r="U354" s="4">
        <f>IF(F354&lt;5000,"Bajo",IF(F354&lt;15000,"Medio","Alto"))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TRIM(CLEAN(PROPER(D356)))</f>
        <v/>
      </c>
      <c r="Q356" s="4">
        <f>PROPER(TRIM(SUBSTITUTE(SUBSTITUTE(SUBSTITUTE(SUBSTITUTE(E356,"TRESEMME","Tresemme"),"HEAD &amp; SHOULDERS","Head &amp; Shoulders"),"ELVIVE","Elvive"),"FRUCTIS","Fructis")))</f>
        <v/>
      </c>
      <c r="R356" s="4">
        <f>COUNTIF($D$2:$D$10000,D356)&gt;1</f>
        <v/>
      </c>
      <c r="S356" s="4">
        <f>IF(H356=TRUE,"Disponible","No disponible")</f>
        <v/>
      </c>
      <c r="T356" s="4">
        <f>IF(AND(ISNUMBER(I356),I356&gt;0),ROUND(F356/I356,2),"Sin volumen")</f>
        <v/>
      </c>
      <c r="U356" s="4">
        <f>IF(F356&lt;5000,"Bajo",IF(F356&lt;15000,"Medio","Alto"))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TRIM(CLEAN(PROPER(D358)))</f>
        <v/>
      </c>
      <c r="Q358" s="4">
        <f>PROPER(TRIM(SUBSTITUTE(SUBSTITUTE(SUBSTITUTE(SUBSTITUTE(E358,"TRESEMME","Tresemme"),"HEAD &amp; SHOULDERS","Head &amp; Shoulders"),"ELVIVE","Elvive"),"FRUCTIS","Fructis")))</f>
        <v/>
      </c>
      <c r="R358" s="4">
        <f>COUNTIF($D$2:$D$10000,D358)&gt;1</f>
        <v/>
      </c>
      <c r="S358" s="4">
        <f>IF(H358=TRUE,"Disponible","No disponible")</f>
        <v/>
      </c>
      <c r="T358" s="4">
        <f>IF(AND(ISNUMBER(I358),I358&gt;0),ROUND(F358/I358,2),"Sin volumen")</f>
        <v/>
      </c>
      <c r="U358" s="4">
        <f>IF(F358&lt;5000,"Bajo",IF(F358&lt;15000,"Medio","Alto"))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TRIM(CLEAN(PROPER(D360)))</f>
        <v/>
      </c>
      <c r="Q360" s="4">
        <f>PROPER(TRIM(SUBSTITUTE(SUBSTITUTE(SUBSTITUTE(SUBSTITUTE(E360,"TRESEMME","Tresemme"),"HEAD &amp; SHOULDERS","Head &amp; Shoulders"),"ELVIVE","Elvive"),"FRUCTIS","Fructis")))</f>
        <v/>
      </c>
      <c r="R360" s="4">
        <f>COUNTIF($D$2:$D$10000,D360)&gt;1</f>
        <v/>
      </c>
      <c r="S360" s="4">
        <f>IF(H360=TRUE,"Disponible","No disponible")</f>
        <v/>
      </c>
      <c r="T360" s="4">
        <f>IF(AND(ISNUMBER(I360),I360&gt;0),ROUND(F360/I360,2),"Sin volumen")</f>
        <v/>
      </c>
      <c r="U360" s="4">
        <f>IF(F360&lt;5000,"Bajo",IF(F360&lt;15000,"Medio","Alto"))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TRIM(CLEAN(PROPER(D362)))</f>
        <v/>
      </c>
      <c r="Q362" s="4">
        <f>PROPER(TRIM(SUBSTITUTE(SUBSTITUTE(SUBSTITUTE(SUBSTITUTE(E362,"TRESEMME","Tresemme"),"HEAD &amp; SHOULDERS","Head &amp; Shoulders"),"ELVIVE","Elvive"),"FRUCTIS","Fructis")))</f>
        <v/>
      </c>
      <c r="R362" s="4">
        <f>COUNTIF($D$2:$D$10000,D362)&gt;1</f>
        <v/>
      </c>
      <c r="S362" s="4">
        <f>IF(H362=TRUE,"Disponible","No disponible")</f>
        <v/>
      </c>
      <c r="T362" s="4">
        <f>IF(AND(ISNUMBER(I362),I362&gt;0),ROUND(F362/I362,2),"Sin volumen")</f>
        <v/>
      </c>
      <c r="U362" s="4">
        <f>IF(F362&lt;5000,"Bajo",IF(F362&lt;15000,"Medio","Alto"))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TRIM(CLEAN(PROPER(D364)))</f>
        <v/>
      </c>
      <c r="Q364" s="4">
        <f>PROPER(TRIM(SUBSTITUTE(SUBSTITUTE(SUBSTITUTE(SUBSTITUTE(E364,"TRESEMME","Tresemme"),"HEAD &amp; SHOULDERS","Head &amp; Shoulders"),"ELVIVE","Elvive"),"FRUCTIS","Fructis")))</f>
        <v/>
      </c>
      <c r="R364" s="4">
        <f>COUNTIF($D$2:$D$10000,D364)&gt;1</f>
        <v/>
      </c>
      <c r="S364" s="4">
        <f>IF(H364=TRUE,"Disponible","No disponible")</f>
        <v/>
      </c>
      <c r="T364" s="4">
        <f>IF(AND(ISNUMBER(I364),I364&gt;0),ROUND(F364/I364,2),"Sin volumen")</f>
        <v/>
      </c>
      <c r="U364" s="4">
        <f>IF(F364&lt;5000,"Bajo",IF(F364&lt;15000,"Medio","Alto"))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TRIM(CLEAN(PROPER(D366)))</f>
        <v/>
      </c>
      <c r="Q366" s="4">
        <f>PROPER(TRIM(SUBSTITUTE(SUBSTITUTE(SUBSTITUTE(SUBSTITUTE(E366,"TRESEMME","Tresemme"),"HEAD &amp; SHOULDERS","Head &amp; Shoulders"),"ELVIVE","Elvive"),"FRUCTIS","Fructis")))</f>
        <v/>
      </c>
      <c r="R366" s="4">
        <f>COUNTIF($D$2:$D$10000,D366)&gt;1</f>
        <v/>
      </c>
      <c r="S366" s="4">
        <f>IF(H366=TRUE,"Disponible","No disponible")</f>
        <v/>
      </c>
      <c r="T366" s="4">
        <f>IF(AND(ISNUMBER(I366),I366&gt;0),ROUND(F366/I366,2),"Sin volumen")</f>
        <v/>
      </c>
      <c r="U366" s="4">
        <f>IF(F366&lt;5000,"Bajo",IF(F366&lt;15000,"Medio","Alto"))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TRIM(CLEAN(PROPER(D368)))</f>
        <v/>
      </c>
      <c r="Q368" s="4">
        <f>PROPER(TRIM(SUBSTITUTE(SUBSTITUTE(SUBSTITUTE(SUBSTITUTE(E368,"TRESEMME","Tresemme"),"HEAD &amp; SHOULDERS","Head &amp; Shoulders"),"ELVIVE","Elvive"),"FRUCTIS","Fructis")))</f>
        <v/>
      </c>
      <c r="R368" s="4">
        <f>COUNTIF($D$2:$D$10000,D368)&gt;1</f>
        <v/>
      </c>
      <c r="S368" s="4">
        <f>IF(H368=TRUE,"Disponible","No disponible")</f>
        <v/>
      </c>
      <c r="T368" s="4">
        <f>IF(AND(ISNUMBER(I368),I368&gt;0),ROUND(F368/I368,2),"Sin volumen")</f>
        <v/>
      </c>
      <c r="U368" s="4">
        <f>IF(F368&lt;5000,"Bajo",IF(F368&lt;15000,"Medio","Alto"))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TRIM(CLEAN(PROPER(D370)))</f>
        <v/>
      </c>
      <c r="Q370" s="4">
        <f>PROPER(TRIM(SUBSTITUTE(SUBSTITUTE(SUBSTITUTE(SUBSTITUTE(E370,"TRESEMME","Tresemme"),"HEAD &amp; SHOULDERS","Head &amp; Shoulders"),"ELVIVE","Elvive"),"FRUCTIS","Fructis")))</f>
        <v/>
      </c>
      <c r="R370" s="4">
        <f>COUNTIF($D$2:$D$10000,D370)&gt;1</f>
        <v/>
      </c>
      <c r="S370" s="4">
        <f>IF(H370=TRUE,"Disponible","No disponible")</f>
        <v/>
      </c>
      <c r="T370" s="4">
        <f>IF(AND(ISNUMBER(I370),I370&gt;0),ROUND(F370/I370,2),"Sin volumen")</f>
        <v/>
      </c>
      <c r="U370" s="4">
        <f>IF(F370&lt;5000,"Bajo",IF(F370&lt;15000,"Medio","Alto"))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TRIM(CLEAN(PROPER(D372)))</f>
        <v/>
      </c>
      <c r="Q372" s="4">
        <f>PROPER(TRIM(SUBSTITUTE(SUBSTITUTE(SUBSTITUTE(SUBSTITUTE(E372,"TRESEMME","Tresemme"),"HEAD &amp; SHOULDERS","Head &amp; Shoulders"),"ELVIVE","Elvive"),"FRUCTIS","Fructis")))</f>
        <v/>
      </c>
      <c r="R372" s="4">
        <f>COUNTIF($D$2:$D$10000,D372)&gt;1</f>
        <v/>
      </c>
      <c r="S372" s="4">
        <f>IF(H372=TRUE,"Disponible","No disponible")</f>
        <v/>
      </c>
      <c r="T372" s="4">
        <f>IF(AND(ISNUMBER(I372),I372&gt;0),ROUND(F372/I372,2),"Sin volumen")</f>
        <v/>
      </c>
      <c r="U372" s="4">
        <f>IF(F372&lt;5000,"Bajo",IF(F372&lt;15000,"Medio","Alto"))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TRIM(CLEAN(PROPER(D374)))</f>
        <v/>
      </c>
      <c r="Q374" s="4">
        <f>PROPER(TRIM(SUBSTITUTE(SUBSTITUTE(SUBSTITUTE(SUBSTITUTE(E374,"TRESEMME","Tresemme"),"HEAD &amp; SHOULDERS","Head &amp; Shoulders"),"ELVIVE","Elvive"),"FRUCTIS","Fructis")))</f>
        <v/>
      </c>
      <c r="R374" s="4">
        <f>COUNTIF($D$2:$D$10000,D374)&gt;1</f>
        <v/>
      </c>
      <c r="S374" s="4">
        <f>IF(H374=TRUE,"Disponible","No disponible")</f>
        <v/>
      </c>
      <c r="T374" s="4">
        <f>IF(AND(ISNUMBER(I374),I374&gt;0),ROUND(F374/I374,2),"Sin volumen")</f>
        <v/>
      </c>
      <c r="U374" s="4">
        <f>IF(F374&lt;5000,"Bajo",IF(F374&lt;15000,"Medio","Alto"))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TRIM(CLEAN(PROPER(D376)))</f>
        <v/>
      </c>
      <c r="Q376" s="4">
        <f>PROPER(TRIM(SUBSTITUTE(SUBSTITUTE(SUBSTITUTE(SUBSTITUTE(E376,"TRESEMME","Tresemme"),"HEAD &amp; SHOULDERS","Head &amp; Shoulders"),"ELVIVE","Elvive"),"FRUCTIS","Fructis")))</f>
        <v/>
      </c>
      <c r="R376" s="4">
        <f>COUNTIF($D$2:$D$10000,D376)&gt;1</f>
        <v/>
      </c>
      <c r="S376" s="4">
        <f>IF(H376=TRUE,"Disponible","No disponible")</f>
        <v/>
      </c>
      <c r="T376" s="4">
        <f>IF(AND(ISNUMBER(I376),I376&gt;0),ROUND(F376/I376,2),"Sin volumen")</f>
        <v/>
      </c>
      <c r="U376" s="4">
        <f>IF(F376&lt;5000,"Bajo",IF(F376&lt;15000,"Medio","Alto"))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TRIM(CLEAN(PROPER(D378)))</f>
        <v/>
      </c>
      <c r="Q378" s="4">
        <f>PROPER(TRIM(SUBSTITUTE(SUBSTITUTE(SUBSTITUTE(SUBSTITUTE(E378,"TRESEMME","Tresemme"),"HEAD &amp; SHOULDERS","Head &amp; Shoulders"),"ELVIVE","Elvive"),"FRUCTIS","Fructis")))</f>
        <v/>
      </c>
      <c r="R378" s="4">
        <f>COUNTIF($D$2:$D$10000,D378)&gt;1</f>
        <v/>
      </c>
      <c r="S378" s="4">
        <f>IF(H378=TRUE,"Disponible","No disponible")</f>
        <v/>
      </c>
      <c r="T378" s="4">
        <f>IF(AND(ISNUMBER(I378),I378&gt;0),ROUND(F378/I378,2),"Sin volumen")</f>
        <v/>
      </c>
      <c r="U378" s="4">
        <f>IF(F378&lt;5000,"Bajo",IF(F378&lt;15000,"Medio","Alto"))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TRIM(CLEAN(PROPER(D380)))</f>
        <v/>
      </c>
      <c r="Q380" s="4">
        <f>PROPER(TRIM(SUBSTITUTE(SUBSTITUTE(SUBSTITUTE(SUBSTITUTE(E380,"TRESEMME","Tresemme"),"HEAD &amp; SHOULDERS","Head &amp; Shoulders"),"ELVIVE","Elvive"),"FRUCTIS","Fructis")))</f>
        <v/>
      </c>
      <c r="R380" s="4">
        <f>COUNTIF($D$2:$D$10000,D380)&gt;1</f>
        <v/>
      </c>
      <c r="S380" s="4">
        <f>IF(H380=TRUE,"Disponible","No disponible")</f>
        <v/>
      </c>
      <c r="T380" s="4">
        <f>IF(AND(ISNUMBER(I380),I380&gt;0),ROUND(F380/I380,2),"Sin volumen")</f>
        <v/>
      </c>
      <c r="U380" s="4">
        <f>IF(F380&lt;5000,"Bajo",IF(F380&lt;15000,"Medio","Alto"))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TRIM(CLEAN(PROPER(D382)))</f>
        <v/>
      </c>
      <c r="Q382" s="4">
        <f>PROPER(TRIM(SUBSTITUTE(SUBSTITUTE(SUBSTITUTE(SUBSTITUTE(E382,"TRESEMME","Tresemme"),"HEAD &amp; SHOULDERS","Head &amp; Shoulders"),"ELVIVE","Elvive"),"FRUCTIS","Fructis")))</f>
        <v/>
      </c>
      <c r="R382" s="4">
        <f>COUNTIF($D$2:$D$10000,D382)&gt;1</f>
        <v/>
      </c>
      <c r="S382" s="4">
        <f>IF(H382=TRUE,"Disponible","No disponible")</f>
        <v/>
      </c>
      <c r="T382" s="4">
        <f>IF(AND(ISNUMBER(I382),I382&gt;0),ROUND(F382/I382,2),"Sin volumen")</f>
        <v/>
      </c>
      <c r="U382" s="4">
        <f>IF(F382&lt;5000,"Bajo",IF(F382&lt;15000,"Medio","Alto"))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TRIM(CLEAN(PROPER(D384)))</f>
        <v/>
      </c>
      <c r="Q384" s="4">
        <f>PROPER(TRIM(SUBSTITUTE(SUBSTITUTE(SUBSTITUTE(SUBSTITUTE(E384,"TRESEMME","Tresemme"),"HEAD &amp; SHOULDERS","Head &amp; Shoulders"),"ELVIVE","Elvive"),"FRUCTIS","Fructis")))</f>
        <v/>
      </c>
      <c r="R384" s="4">
        <f>COUNTIF($D$2:$D$10000,D384)&gt;1</f>
        <v/>
      </c>
      <c r="S384" s="4">
        <f>IF(H384=TRUE,"Disponible","No disponible")</f>
        <v/>
      </c>
      <c r="T384" s="4">
        <f>IF(AND(ISNUMBER(I384),I384&gt;0),ROUND(F384/I384,2),"Sin volumen")</f>
        <v/>
      </c>
      <c r="U384" s="4">
        <f>IF(F384&lt;5000,"Bajo",IF(F384&lt;15000,"Medio","Alto"))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TRIM(CLEAN(PROPER(D386)))</f>
        <v/>
      </c>
      <c r="Q386" s="4">
        <f>PROPER(TRIM(SUBSTITUTE(SUBSTITUTE(SUBSTITUTE(SUBSTITUTE(E386,"TRESEMME","Tresemme"),"HEAD &amp; SHOULDERS","Head &amp; Shoulders"),"ELVIVE","Elvive"),"FRUCTIS","Fructis")))</f>
        <v/>
      </c>
      <c r="R386" s="4">
        <f>COUNTIF($D$2:$D$10000,D386)&gt;1</f>
        <v/>
      </c>
      <c r="S386" s="4">
        <f>IF(H386=TRUE,"Disponible","No disponible")</f>
        <v/>
      </c>
      <c r="T386" s="4">
        <f>IF(AND(ISNUMBER(I386),I386&gt;0),ROUND(F386/I386,2),"Sin volumen")</f>
        <v/>
      </c>
      <c r="U386" s="4">
        <f>IF(F386&lt;5000,"Bajo",IF(F386&lt;15000,"Medio","Alto"))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TRIM(CLEAN(PROPER(D388)))</f>
        <v/>
      </c>
      <c r="Q388" s="4">
        <f>PROPER(TRIM(SUBSTITUTE(SUBSTITUTE(SUBSTITUTE(SUBSTITUTE(E388,"TRESEMME","Tresemme"),"HEAD &amp; SHOULDERS","Head &amp; Shoulders"),"ELVIVE","Elvive"),"FRUCTIS","Fructis")))</f>
        <v/>
      </c>
      <c r="R388" s="4">
        <f>COUNTIF($D$2:$D$10000,D388)&gt;1</f>
        <v/>
      </c>
      <c r="S388" s="4">
        <f>IF(H388=TRUE,"Disponible","No disponible")</f>
        <v/>
      </c>
      <c r="T388" s="4">
        <f>IF(AND(ISNUMBER(I388),I388&gt;0),ROUND(F388/I388,2),"Sin volumen")</f>
        <v/>
      </c>
      <c r="U388" s="4">
        <f>IF(F388&lt;5000,"Bajo",IF(F388&lt;15000,"Medio","Alto"))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TRIM(CLEAN(PROPER(D390)))</f>
        <v/>
      </c>
      <c r="Q390" s="4">
        <f>PROPER(TRIM(SUBSTITUTE(SUBSTITUTE(SUBSTITUTE(SUBSTITUTE(E390,"TRESEMME","Tresemme"),"HEAD &amp; SHOULDERS","Head &amp; Shoulders"),"ELVIVE","Elvive"),"FRUCTIS","Fructis")))</f>
        <v/>
      </c>
      <c r="R390" s="4">
        <f>COUNTIF($D$2:$D$10000,D390)&gt;1</f>
        <v/>
      </c>
      <c r="S390" s="4">
        <f>IF(H390=TRUE,"Disponible","No disponible")</f>
        <v/>
      </c>
      <c r="T390" s="4">
        <f>IF(AND(ISNUMBER(I390),I390&gt;0),ROUND(F390/I390,2),"Sin volumen")</f>
        <v/>
      </c>
      <c r="U390" s="4">
        <f>IF(F390&lt;5000,"Bajo",IF(F390&lt;15000,"Medio","Alto"))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TRIM(CLEAN(PROPER(D392)))</f>
        <v/>
      </c>
      <c r="Q392" s="4">
        <f>PROPER(TRIM(SUBSTITUTE(SUBSTITUTE(SUBSTITUTE(SUBSTITUTE(E392,"TRESEMME","Tresemme"),"HEAD &amp; SHOULDERS","Head &amp; Shoulders"),"ELVIVE","Elvive"),"FRUCTIS","Fructis")))</f>
        <v/>
      </c>
      <c r="R392" s="4">
        <f>COUNTIF($D$2:$D$10000,D392)&gt;1</f>
        <v/>
      </c>
      <c r="S392" s="4">
        <f>IF(H392=TRUE,"Disponible","No disponible")</f>
        <v/>
      </c>
      <c r="T392" s="4">
        <f>IF(AND(ISNUMBER(I392),I392&gt;0),ROUND(F392/I392,2),"Sin volumen")</f>
        <v/>
      </c>
      <c r="U392" s="4">
        <f>IF(F392&lt;5000,"Bajo",IF(F392&lt;15000,"Medio","Alto"))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TRIM(CLEAN(PROPER(D394)))</f>
        <v/>
      </c>
      <c r="Q394" s="4">
        <f>PROPER(TRIM(SUBSTITUTE(SUBSTITUTE(SUBSTITUTE(SUBSTITUTE(E394,"TRESEMME","Tresemme"),"HEAD &amp; SHOULDERS","Head &amp; Shoulders"),"ELVIVE","Elvive"),"FRUCTIS","Fructis")))</f>
        <v/>
      </c>
      <c r="R394" s="4">
        <f>COUNTIF($D$2:$D$10000,D394)&gt;1</f>
        <v/>
      </c>
      <c r="S394" s="4">
        <f>IF(H394=TRUE,"Disponible","No disponible")</f>
        <v/>
      </c>
      <c r="T394" s="4">
        <f>IF(AND(ISNUMBER(I394),I394&gt;0),ROUND(F394/I394,2),"Sin volumen")</f>
        <v/>
      </c>
      <c r="U394" s="4">
        <f>IF(F394&lt;5000,"Bajo",IF(F394&lt;15000,"Medio","Alto"))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TRIM(CLEAN(PROPER(D2)))</f>
        <v/>
      </c>
      <c r="Q2" s="8">
        <f>PROPER(TRIM(SUBSTITUTE(SUBSTITUTE(SUBSTITUTE(SUBSTITUTE(E2,"TRESEMME","Tresemme"),"HEAD &amp; SHOULDERS","Head &amp; Shoulders"),"ELVIVE","Elvive"),"FRUCTIS","Fructis")))</f>
        <v/>
      </c>
      <c r="R2" s="8">
        <f>COUNTIF($D$2:$D$10000,D2)&gt;1</f>
        <v/>
      </c>
      <c r="S2" s="8">
        <f>IF(H2=TRUE,"Disponible","No disponible")</f>
        <v/>
      </c>
      <c r="T2" s="8">
        <f>IF(AND(ISNUMBER(I2),I2&gt;0),ROUND(F2/I2,2),"Sin volumen")</f>
        <v/>
      </c>
      <c r="U2" s="8">
        <f>IF(F2&lt;5000,"Bajo",IF(F2&lt;15000,"Medio","Alto"))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TRIM(CLEAN(PROPER(D4)))</f>
        <v/>
      </c>
      <c r="Q4" s="8">
        <f>PROPER(TRIM(SUBSTITUTE(SUBSTITUTE(SUBSTITUTE(SUBSTITUTE(E4,"TRESEMME","Tresemme"),"HEAD &amp; SHOULDERS","Head &amp; Shoulders"),"ELVIVE","Elvive"),"FRUCTIS","Fructis")))</f>
        <v/>
      </c>
      <c r="R4" s="8">
        <f>COUNTIF($D$2:$D$10000,D4)&gt;1</f>
        <v/>
      </c>
      <c r="S4" s="8">
        <f>IF(H4=TRUE,"Disponible","No disponible")</f>
        <v/>
      </c>
      <c r="T4" s="8">
        <f>IF(AND(ISNUMBER(I4),I4&gt;0),ROUND(F4/I4,2),"Sin volumen")</f>
        <v/>
      </c>
      <c r="U4" s="8">
        <f>IF(F4&lt;5000,"Bajo",IF(F4&lt;15000,"Medio","Alto"))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TRIM(CLEAN(PROPER(D6)))</f>
        <v/>
      </c>
      <c r="Q6" s="8">
        <f>PROPER(TRIM(SUBSTITUTE(SUBSTITUTE(SUBSTITUTE(SUBSTITUTE(E6,"TRESEMME","Tresemme"),"HEAD &amp; SHOULDERS","Head &amp; Shoulders"),"ELVIVE","Elvive"),"FRUCTIS","Fructis")))</f>
        <v/>
      </c>
      <c r="R6" s="8">
        <f>COUNTIF($D$2:$D$10000,D6)&gt;1</f>
        <v/>
      </c>
      <c r="S6" s="8">
        <f>IF(H6=TRUE,"Disponible","No disponible")</f>
        <v/>
      </c>
      <c r="T6" s="8">
        <f>IF(AND(ISNUMBER(I6),I6&gt;0),ROUND(F6/I6,2),"Sin volumen")</f>
        <v/>
      </c>
      <c r="U6" s="8">
        <f>IF(F6&lt;5000,"Bajo",IF(F6&lt;15000,"Medio","Alto"))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TRIM(CLEAN(PROPER(D8)))</f>
        <v/>
      </c>
      <c r="Q8" s="8">
        <f>PROPER(TRIM(SUBSTITUTE(SUBSTITUTE(SUBSTITUTE(SUBSTITUTE(E8,"TRESEMME","Tresemme"),"HEAD &amp; SHOULDERS","Head &amp; Shoulders"),"ELVIVE","Elvive"),"FRUCTIS","Fructis")))</f>
        <v/>
      </c>
      <c r="R8" s="8">
        <f>COUNTIF($D$2:$D$10000,D8)&gt;1</f>
        <v/>
      </c>
      <c r="S8" s="8">
        <f>IF(H8=TRUE,"Disponible","No disponible")</f>
        <v/>
      </c>
      <c r="T8" s="8">
        <f>IF(AND(ISNUMBER(I8),I8&gt;0),ROUND(F8/I8,2),"Sin volumen")</f>
        <v/>
      </c>
      <c r="U8" s="8">
        <f>IF(F8&lt;5000,"Bajo",IF(F8&lt;15000,"Medio","Alto"))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TRIM(CLEAN(PROPER(D10)))</f>
        <v/>
      </c>
      <c r="Q10" s="8">
        <f>PROPER(TRIM(SUBSTITUTE(SUBSTITUTE(SUBSTITUTE(SUBSTITUTE(E10,"TRESEMME","Tresemme"),"HEAD &amp; SHOULDERS","Head &amp; Shoulders"),"ELVIVE","Elvive"),"FRUCTIS","Fructis")))</f>
        <v/>
      </c>
      <c r="R10" s="8">
        <f>COUNTIF($D$2:$D$10000,D10)&gt;1</f>
        <v/>
      </c>
      <c r="S10" s="8">
        <f>IF(H10=TRUE,"Disponible","No disponible")</f>
        <v/>
      </c>
      <c r="T10" s="8">
        <f>IF(AND(ISNUMBER(I10),I10&gt;0),ROUND(F10/I10,2),"Sin volumen")</f>
        <v/>
      </c>
      <c r="U10" s="8">
        <f>IF(F10&lt;5000,"Bajo",IF(F10&lt;15000,"Medio","Alto"))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TRIM(CLEAN(PROPER(D12)))</f>
        <v/>
      </c>
      <c r="Q12" s="8">
        <f>PROPER(TRIM(SUBSTITUTE(SUBSTITUTE(SUBSTITUTE(SUBSTITUTE(E12,"TRESEMME","Tresemme"),"HEAD &amp; SHOULDERS","Head &amp; Shoulders"),"ELVIVE","Elvive"),"FRUCTIS","Fructis")))</f>
        <v/>
      </c>
      <c r="R12" s="8">
        <f>COUNTIF($D$2:$D$10000,D12)&gt;1</f>
        <v/>
      </c>
      <c r="S12" s="8">
        <f>IF(H12=TRUE,"Disponible","No disponible")</f>
        <v/>
      </c>
      <c r="T12" s="8">
        <f>IF(AND(ISNUMBER(I12),I12&gt;0),ROUND(F12/I12,2),"Sin volumen")</f>
        <v/>
      </c>
      <c r="U12" s="8">
        <f>IF(F12&lt;5000,"Bajo",IF(F12&lt;15000,"Medio","Alto"))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TRIM(CLEAN(PROPER(D14)))</f>
        <v/>
      </c>
      <c r="Q14" s="8">
        <f>PROPER(TRIM(SUBSTITUTE(SUBSTITUTE(SUBSTITUTE(SUBSTITUTE(E14,"TRESEMME","Tresemme"),"HEAD &amp; SHOULDERS","Head &amp; Shoulders"),"ELVIVE","Elvive"),"FRUCTIS","Fructis")))</f>
        <v/>
      </c>
      <c r="R14" s="8">
        <f>COUNTIF($D$2:$D$10000,D14)&gt;1</f>
        <v/>
      </c>
      <c r="S14" s="8">
        <f>IF(H14=TRUE,"Disponible","No disponible")</f>
        <v/>
      </c>
      <c r="T14" s="8">
        <f>IF(AND(ISNUMBER(I14),I14&gt;0),ROUND(F14/I14,2),"Sin volumen")</f>
        <v/>
      </c>
      <c r="U14" s="8">
        <f>IF(F14&lt;5000,"Bajo",IF(F14&lt;15000,"Medio","Alto"))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TRIM(CLEAN(PROPER(D16)))</f>
        <v/>
      </c>
      <c r="Q16" s="8">
        <f>PROPER(TRIM(SUBSTITUTE(SUBSTITUTE(SUBSTITUTE(SUBSTITUTE(E16,"TRESEMME","Tresemme"),"HEAD &amp; SHOULDERS","Head &amp; Shoulders"),"ELVIVE","Elvive"),"FRUCTIS","Fructis")))</f>
        <v/>
      </c>
      <c r="R16" s="8">
        <f>COUNTIF($D$2:$D$10000,D16)&gt;1</f>
        <v/>
      </c>
      <c r="S16" s="8">
        <f>IF(H16=TRUE,"Disponible","No disponible")</f>
        <v/>
      </c>
      <c r="T16" s="8">
        <f>IF(AND(ISNUMBER(I16),I16&gt;0),ROUND(F16/I16,2),"Sin volumen")</f>
        <v/>
      </c>
      <c r="U16" s="8">
        <f>IF(F16&lt;5000,"Bajo",IF(F16&lt;15000,"Medio","Alto"))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TRIM(CLEAN(PROPER(D18)))</f>
        <v/>
      </c>
      <c r="Q18" s="8">
        <f>PROPER(TRIM(SUBSTITUTE(SUBSTITUTE(SUBSTITUTE(SUBSTITUTE(E18,"TRESEMME","Tresemme"),"HEAD &amp; SHOULDERS","Head &amp; Shoulders"),"ELVIVE","Elvive"),"FRUCTIS","Fructis")))</f>
        <v/>
      </c>
      <c r="R18" s="8">
        <f>COUNTIF($D$2:$D$10000,D18)&gt;1</f>
        <v/>
      </c>
      <c r="S18" s="8">
        <f>IF(H18=TRUE,"Disponible","No disponible")</f>
        <v/>
      </c>
      <c r="T18" s="8">
        <f>IF(AND(ISNUMBER(I18),I18&gt;0),ROUND(F18/I18,2),"Sin volumen")</f>
        <v/>
      </c>
      <c r="U18" s="8">
        <f>IF(F18&lt;5000,"Bajo",IF(F18&lt;15000,"Medio","Alto"))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TRIM(CLEAN(PROPER(D20)))</f>
        <v/>
      </c>
      <c r="Q20" s="8">
        <f>PROPER(TRIM(SUBSTITUTE(SUBSTITUTE(SUBSTITUTE(SUBSTITUTE(E20,"TRESEMME","Tresemme"),"HEAD &amp; SHOULDERS","Head &amp; Shoulders"),"ELVIVE","Elvive"),"FRUCTIS","Fructis")))</f>
        <v/>
      </c>
      <c r="R20" s="8">
        <f>COUNTIF($D$2:$D$10000,D20)&gt;1</f>
        <v/>
      </c>
      <c r="S20" s="8">
        <f>IF(H20=TRUE,"Disponible","No disponible")</f>
        <v/>
      </c>
      <c r="T20" s="8">
        <f>IF(AND(ISNUMBER(I20),I20&gt;0),ROUND(F20/I20,2),"Sin volumen")</f>
        <v/>
      </c>
      <c r="U20" s="8">
        <f>IF(F20&lt;5000,"Bajo",IF(F20&lt;15000,"Medio","Alto"))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TRIM(CLEAN(PROPER(D22)))</f>
        <v/>
      </c>
      <c r="Q22" s="8">
        <f>PROPER(TRIM(SUBSTITUTE(SUBSTITUTE(SUBSTITUTE(SUBSTITUTE(E22,"TRESEMME","Tresemme"),"HEAD &amp; SHOULDERS","Head &amp; Shoulders"),"ELVIVE","Elvive"),"FRUCTIS","Fructis")))</f>
        <v/>
      </c>
      <c r="R22" s="8">
        <f>COUNTIF($D$2:$D$10000,D22)&gt;1</f>
        <v/>
      </c>
      <c r="S22" s="8">
        <f>IF(H22=TRUE,"Disponible","No disponible")</f>
        <v/>
      </c>
      <c r="T22" s="8">
        <f>IF(AND(ISNUMBER(I22),I22&gt;0),ROUND(F22/I22,2),"Sin volumen")</f>
        <v/>
      </c>
      <c r="U22" s="8">
        <f>IF(F22&lt;5000,"Bajo",IF(F22&lt;15000,"Medio","Alto"))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TRIM(CLEAN(PROPER(D24)))</f>
        <v/>
      </c>
      <c r="Q24" s="8">
        <f>PROPER(TRIM(SUBSTITUTE(SUBSTITUTE(SUBSTITUTE(SUBSTITUTE(E24,"TRESEMME","Tresemme"),"HEAD &amp; SHOULDERS","Head &amp; Shoulders"),"ELVIVE","Elvive"),"FRUCTIS","Fructis")))</f>
        <v/>
      </c>
      <c r="R24" s="8">
        <f>COUNTIF($D$2:$D$10000,D24)&gt;1</f>
        <v/>
      </c>
      <c r="S24" s="8">
        <f>IF(H24=TRUE,"Disponible","No disponible")</f>
        <v/>
      </c>
      <c r="T24" s="8">
        <f>IF(AND(ISNUMBER(I24),I24&gt;0),ROUND(F24/I24,2),"Sin volumen")</f>
        <v/>
      </c>
      <c r="U24" s="8">
        <f>IF(F24&lt;5000,"Bajo",IF(F24&lt;15000,"Medio","Alto"))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TRIM(CLEAN(PROPER(D26)))</f>
        <v/>
      </c>
      <c r="Q26" s="8">
        <f>PROPER(TRIM(SUBSTITUTE(SUBSTITUTE(SUBSTITUTE(SUBSTITUTE(E26,"TRESEMME","Tresemme"),"HEAD &amp; SHOULDERS","Head &amp; Shoulders"),"ELVIVE","Elvive"),"FRUCTIS","Fructis")))</f>
        <v/>
      </c>
      <c r="R26" s="8">
        <f>COUNTIF($D$2:$D$10000,D26)&gt;1</f>
        <v/>
      </c>
      <c r="S26" s="8">
        <f>IF(H26=TRUE,"Disponible","No disponible")</f>
        <v/>
      </c>
      <c r="T26" s="8">
        <f>IF(AND(ISNUMBER(I26),I26&gt;0),ROUND(F26/I26,2),"Sin volumen")</f>
        <v/>
      </c>
      <c r="U26" s="8">
        <f>IF(F26&lt;5000,"Bajo",IF(F26&lt;15000,"Medio","Alto"))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TRIM(CLEAN(PROPER(D28)))</f>
        <v/>
      </c>
      <c r="Q28" s="8">
        <f>PROPER(TRIM(SUBSTITUTE(SUBSTITUTE(SUBSTITUTE(SUBSTITUTE(E28,"TRESEMME","Tresemme"),"HEAD &amp; SHOULDERS","Head &amp; Shoulders"),"ELVIVE","Elvive"),"FRUCTIS","Fructis")))</f>
        <v/>
      </c>
      <c r="R28" s="8">
        <f>COUNTIF($D$2:$D$10000,D28)&gt;1</f>
        <v/>
      </c>
      <c r="S28" s="8">
        <f>IF(H28=TRUE,"Disponible","No disponible")</f>
        <v/>
      </c>
      <c r="T28" s="8">
        <f>IF(AND(ISNUMBER(I28),I28&gt;0),ROUND(F28/I28,2),"Sin volumen")</f>
        <v/>
      </c>
      <c r="U28" s="8">
        <f>IF(F28&lt;5000,"Bajo",IF(F28&lt;15000,"Medio","Alto"))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TRIM(CLEAN(PROPER(D30)))</f>
        <v/>
      </c>
      <c r="Q30" s="8">
        <f>PROPER(TRIM(SUBSTITUTE(SUBSTITUTE(SUBSTITUTE(SUBSTITUTE(E30,"TRESEMME","Tresemme"),"HEAD &amp; SHOULDERS","Head &amp; Shoulders"),"ELVIVE","Elvive"),"FRUCTIS","Fructis")))</f>
        <v/>
      </c>
      <c r="R30" s="8">
        <f>COUNTIF($D$2:$D$10000,D30)&gt;1</f>
        <v/>
      </c>
      <c r="S30" s="8">
        <f>IF(H30=TRUE,"Disponible","No disponible")</f>
        <v/>
      </c>
      <c r="T30" s="8">
        <f>IF(AND(ISNUMBER(I30),I30&gt;0),ROUND(F30/I30,2),"Sin volumen")</f>
        <v/>
      </c>
      <c r="U30" s="8">
        <f>IF(F30&lt;5000,"Bajo",IF(F30&lt;15000,"Medio","Alto"))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TRIM(CLEAN(PROPER(D32)))</f>
        <v/>
      </c>
      <c r="Q32" s="8">
        <f>PROPER(TRIM(SUBSTITUTE(SUBSTITUTE(SUBSTITUTE(SUBSTITUTE(E32,"TRESEMME","Tresemme"),"HEAD &amp; SHOULDERS","Head &amp; Shoulders"),"ELVIVE","Elvive"),"FRUCTIS","Fructis")))</f>
        <v/>
      </c>
      <c r="R32" s="8">
        <f>COUNTIF($D$2:$D$10000,D32)&gt;1</f>
        <v/>
      </c>
      <c r="S32" s="8">
        <f>IF(H32=TRUE,"Disponible","No disponible")</f>
        <v/>
      </c>
      <c r="T32" s="8">
        <f>IF(AND(ISNUMBER(I32),I32&gt;0),ROUND(F32/I32,2),"Sin volumen")</f>
        <v/>
      </c>
      <c r="U32" s="8">
        <f>IF(F32&lt;5000,"Bajo",IF(F32&lt;15000,"Medio","Alto"))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TRIM(CLEAN(PROPER(D34)))</f>
        <v/>
      </c>
      <c r="Q34" s="8">
        <f>PROPER(TRIM(SUBSTITUTE(SUBSTITUTE(SUBSTITUTE(SUBSTITUTE(E34,"TRESEMME","Tresemme"),"HEAD &amp; SHOULDERS","Head &amp; Shoulders"),"ELVIVE","Elvive"),"FRUCTIS","Fructis")))</f>
        <v/>
      </c>
      <c r="R34" s="8">
        <f>COUNTIF($D$2:$D$10000,D34)&gt;1</f>
        <v/>
      </c>
      <c r="S34" s="8">
        <f>IF(H34=TRUE,"Disponible","No disponible")</f>
        <v/>
      </c>
      <c r="T34" s="8">
        <f>IF(AND(ISNUMBER(I34),I34&gt;0),ROUND(F34/I34,2),"Sin volumen")</f>
        <v/>
      </c>
      <c r="U34" s="8">
        <f>IF(F34&lt;5000,"Bajo",IF(F34&lt;15000,"Medio","Alto"))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TRIM(CLEAN(PROPER(D36)))</f>
        <v/>
      </c>
      <c r="Q36" s="8">
        <f>PROPER(TRIM(SUBSTITUTE(SUBSTITUTE(SUBSTITUTE(SUBSTITUTE(E36,"TRESEMME","Tresemme"),"HEAD &amp; SHOULDERS","Head &amp; Shoulders"),"ELVIVE","Elvive"),"FRUCTIS","Fructis")))</f>
        <v/>
      </c>
      <c r="R36" s="8">
        <f>COUNTIF($D$2:$D$10000,D36)&gt;1</f>
        <v/>
      </c>
      <c r="S36" s="8">
        <f>IF(H36=TRUE,"Disponible","No disponible")</f>
        <v/>
      </c>
      <c r="T36" s="8">
        <f>IF(AND(ISNUMBER(I36),I36&gt;0),ROUND(F36/I36,2),"Sin volumen")</f>
        <v/>
      </c>
      <c r="U36" s="8">
        <f>IF(F36&lt;5000,"Bajo",IF(F36&lt;15000,"Medio","Alto"))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TRIM(CLEAN(PROPER(D38)))</f>
        <v/>
      </c>
      <c r="Q38" s="8">
        <f>PROPER(TRIM(SUBSTITUTE(SUBSTITUTE(SUBSTITUTE(SUBSTITUTE(E38,"TRESEMME","Tresemme"),"HEAD &amp; SHOULDERS","Head &amp; Shoulders"),"ELVIVE","Elvive"),"FRUCTIS","Fructis")))</f>
        <v/>
      </c>
      <c r="R38" s="8">
        <f>COUNTIF($D$2:$D$10000,D38)&gt;1</f>
        <v/>
      </c>
      <c r="S38" s="8">
        <f>IF(H38=TRUE,"Disponible","No disponible")</f>
        <v/>
      </c>
      <c r="T38" s="8">
        <f>IF(AND(ISNUMBER(I38),I38&gt;0),ROUND(F38/I38,2),"Sin volumen")</f>
        <v/>
      </c>
      <c r="U38" s="8">
        <f>IF(F38&lt;5000,"Bajo",IF(F38&lt;15000,"Medio","Alto"))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TRIM(CLEAN(PROPER(D40)))</f>
        <v/>
      </c>
      <c r="Q40" s="8">
        <f>PROPER(TRIM(SUBSTITUTE(SUBSTITUTE(SUBSTITUTE(SUBSTITUTE(E40,"TRESEMME","Tresemme"),"HEAD &amp; SHOULDERS","Head &amp; Shoulders"),"ELVIVE","Elvive"),"FRUCTIS","Fructis")))</f>
        <v/>
      </c>
      <c r="R40" s="8">
        <f>COUNTIF($D$2:$D$10000,D40)&gt;1</f>
        <v/>
      </c>
      <c r="S40" s="8">
        <f>IF(H40=TRUE,"Disponible","No disponible")</f>
        <v/>
      </c>
      <c r="T40" s="8">
        <f>IF(AND(ISNUMBER(I40),I40&gt;0),ROUND(F40/I40,2),"Sin volumen")</f>
        <v/>
      </c>
      <c r="U40" s="8">
        <f>IF(F40&lt;5000,"Bajo",IF(F40&lt;15000,"Medio","Alto"))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TRIM(CLEAN(PROPER(D42)))</f>
        <v/>
      </c>
      <c r="Q42" s="8">
        <f>PROPER(TRIM(SUBSTITUTE(SUBSTITUTE(SUBSTITUTE(SUBSTITUTE(E42,"TRESEMME","Tresemme"),"HEAD &amp; SHOULDERS","Head &amp; Shoulders"),"ELVIVE","Elvive"),"FRUCTIS","Fructis")))</f>
        <v/>
      </c>
      <c r="R42" s="8">
        <f>COUNTIF($D$2:$D$10000,D42)&gt;1</f>
        <v/>
      </c>
      <c r="S42" s="8">
        <f>IF(H42=TRUE,"Disponible","No disponible")</f>
        <v/>
      </c>
      <c r="T42" s="8">
        <f>IF(AND(ISNUMBER(I42),I42&gt;0),ROUND(F42/I42,2),"Sin volumen")</f>
        <v/>
      </c>
      <c r="U42" s="8">
        <f>IF(F42&lt;5000,"Bajo",IF(F42&lt;15000,"Medio","Alto"))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TRIM(CLEAN(PROPER(D44)))</f>
        <v/>
      </c>
      <c r="Q44" s="8">
        <f>PROPER(TRIM(SUBSTITUTE(SUBSTITUTE(SUBSTITUTE(SUBSTITUTE(E44,"TRESEMME","Tresemme"),"HEAD &amp; SHOULDERS","Head &amp; Shoulders"),"ELVIVE","Elvive"),"FRUCTIS","Fructis")))</f>
        <v/>
      </c>
      <c r="R44" s="8">
        <f>COUNTIF($D$2:$D$10000,D44)&gt;1</f>
        <v/>
      </c>
      <c r="S44" s="8">
        <f>IF(H44=TRUE,"Disponible","No disponible")</f>
        <v/>
      </c>
      <c r="T44" s="8">
        <f>IF(AND(ISNUMBER(I44),I44&gt;0),ROUND(F44/I44,2),"Sin volumen")</f>
        <v/>
      </c>
      <c r="U44" s="8">
        <f>IF(F44&lt;5000,"Bajo",IF(F44&lt;15000,"Medio","Alto"))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TRIM(CLEAN(PROPER(D46)))</f>
        <v/>
      </c>
      <c r="Q46" s="8">
        <f>PROPER(TRIM(SUBSTITUTE(SUBSTITUTE(SUBSTITUTE(SUBSTITUTE(E46,"TRESEMME","Tresemme"),"HEAD &amp; SHOULDERS","Head &amp; Shoulders"),"ELVIVE","Elvive"),"FRUCTIS","Fructis")))</f>
        <v/>
      </c>
      <c r="R46" s="8">
        <f>COUNTIF($D$2:$D$10000,D46)&gt;1</f>
        <v/>
      </c>
      <c r="S46" s="8">
        <f>IF(H46=TRUE,"Disponible","No disponible")</f>
        <v/>
      </c>
      <c r="T46" s="8">
        <f>IF(AND(ISNUMBER(I46),I46&gt;0),ROUND(F46/I46,2),"Sin volumen")</f>
        <v/>
      </c>
      <c r="U46" s="8">
        <f>IF(F46&lt;5000,"Bajo",IF(F46&lt;15000,"Medio","Alto"))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TRIM(CLEAN(PROPER(D48)))</f>
        <v/>
      </c>
      <c r="Q48" s="8">
        <f>PROPER(TRIM(SUBSTITUTE(SUBSTITUTE(SUBSTITUTE(SUBSTITUTE(E48,"TRESEMME","Tresemme"),"HEAD &amp; SHOULDERS","Head &amp; Shoulders"),"ELVIVE","Elvive"),"FRUCTIS","Fructis")))</f>
        <v/>
      </c>
      <c r="R48" s="8">
        <f>COUNTIF($D$2:$D$10000,D48)&gt;1</f>
        <v/>
      </c>
      <c r="S48" s="8">
        <f>IF(H48=TRUE,"Disponible","No disponible")</f>
        <v/>
      </c>
      <c r="T48" s="8">
        <f>IF(AND(ISNUMBER(I48),I48&gt;0),ROUND(F48/I48,2),"Sin volumen")</f>
        <v/>
      </c>
      <c r="U48" s="8">
        <f>IF(F48&lt;5000,"Bajo",IF(F48&lt;15000,"Medio","Alto"))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TRIM(CLEAN(PROPER(D50)))</f>
        <v/>
      </c>
      <c r="Q50" s="8">
        <f>PROPER(TRIM(SUBSTITUTE(SUBSTITUTE(SUBSTITUTE(SUBSTITUTE(E50,"TRESEMME","Tresemme"),"HEAD &amp; SHOULDERS","Head &amp; Shoulders"),"ELVIVE","Elvive"),"FRUCTIS","Fructis")))</f>
        <v/>
      </c>
      <c r="R50" s="8">
        <f>COUNTIF($D$2:$D$10000,D50)&gt;1</f>
        <v/>
      </c>
      <c r="S50" s="8">
        <f>IF(H50=TRUE,"Disponible","No disponible")</f>
        <v/>
      </c>
      <c r="T50" s="8">
        <f>IF(AND(ISNUMBER(I50),I50&gt;0),ROUND(F50/I50,2),"Sin volumen")</f>
        <v/>
      </c>
      <c r="U50" s="8">
        <f>IF(F50&lt;5000,"Bajo",IF(F50&lt;15000,"Medio","Alto"))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TRIM(CLEAN(PROPER(D52)))</f>
        <v/>
      </c>
      <c r="Q52" s="8">
        <f>PROPER(TRIM(SUBSTITUTE(SUBSTITUTE(SUBSTITUTE(SUBSTITUTE(E52,"TRESEMME","Tresemme"),"HEAD &amp; SHOULDERS","Head &amp; Shoulders"),"ELVIVE","Elvive"),"FRUCTIS","Fructis")))</f>
        <v/>
      </c>
      <c r="R52" s="8">
        <f>COUNTIF($D$2:$D$10000,D52)&gt;1</f>
        <v/>
      </c>
      <c r="S52" s="8">
        <f>IF(H52=TRUE,"Disponible","No disponible")</f>
        <v/>
      </c>
      <c r="T52" s="8">
        <f>IF(AND(ISNUMBER(I52),I52&gt;0),ROUND(F52/I52,2),"Sin volumen")</f>
        <v/>
      </c>
      <c r="U52" s="8">
        <f>IF(F52&lt;5000,"Bajo",IF(F52&lt;15000,"Medio","Alto"))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TRIM(CLEAN(PROPER(D54)))</f>
        <v/>
      </c>
      <c r="Q54" s="8">
        <f>PROPER(TRIM(SUBSTITUTE(SUBSTITUTE(SUBSTITUTE(SUBSTITUTE(E54,"TRESEMME","Tresemme"),"HEAD &amp; SHOULDERS","Head &amp; Shoulders"),"ELVIVE","Elvive"),"FRUCTIS","Fructis")))</f>
        <v/>
      </c>
      <c r="R54" s="8">
        <f>COUNTIF($D$2:$D$10000,D54)&gt;1</f>
        <v/>
      </c>
      <c r="S54" s="8">
        <f>IF(H54=TRUE,"Disponible","No disponible")</f>
        <v/>
      </c>
      <c r="T54" s="8">
        <f>IF(AND(ISNUMBER(I54),I54&gt;0),ROUND(F54/I54,2),"Sin volumen")</f>
        <v/>
      </c>
      <c r="U54" s="8">
        <f>IF(F54&lt;5000,"Bajo",IF(F54&lt;15000,"Medio","Alto"))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TRIM(CLEAN(PROPER(D56)))</f>
        <v/>
      </c>
      <c r="Q56" s="8">
        <f>PROPER(TRIM(SUBSTITUTE(SUBSTITUTE(SUBSTITUTE(SUBSTITUTE(E56,"TRESEMME","Tresemme"),"HEAD &amp; SHOULDERS","Head &amp; Shoulders"),"ELVIVE","Elvive"),"FRUCTIS","Fructis")))</f>
        <v/>
      </c>
      <c r="R56" s="8">
        <f>COUNTIF($D$2:$D$10000,D56)&gt;1</f>
        <v/>
      </c>
      <c r="S56" s="8">
        <f>IF(H56=TRUE,"Disponible","No disponible")</f>
        <v/>
      </c>
      <c r="T56" s="8">
        <f>IF(AND(ISNUMBER(I56),I56&gt;0),ROUND(F56/I56,2),"Sin volumen")</f>
        <v/>
      </c>
      <c r="U56" s="8">
        <f>IF(F56&lt;5000,"Bajo",IF(F56&lt;15000,"Medio","Alto"))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TRIM(CLEAN(PROPER(D58)))</f>
        <v/>
      </c>
      <c r="Q58" s="8">
        <f>PROPER(TRIM(SUBSTITUTE(SUBSTITUTE(SUBSTITUTE(SUBSTITUTE(E58,"TRESEMME","Tresemme"),"HEAD &amp; SHOULDERS","Head &amp; Shoulders"),"ELVIVE","Elvive"),"FRUCTIS","Fructis")))</f>
        <v/>
      </c>
      <c r="R58" s="8">
        <f>COUNTIF($D$2:$D$10000,D58)&gt;1</f>
        <v/>
      </c>
      <c r="S58" s="8">
        <f>IF(H58=TRUE,"Disponible","No disponible")</f>
        <v/>
      </c>
      <c r="T58" s="8">
        <f>IF(AND(ISNUMBER(I58),I58&gt;0),ROUND(F58/I58,2),"Sin volumen")</f>
        <v/>
      </c>
      <c r="U58" s="8">
        <f>IF(F58&lt;5000,"Bajo",IF(F58&lt;15000,"Medio","Alto"))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TRIM(CLEAN(PROPER(D60)))</f>
        <v/>
      </c>
      <c r="Q60" s="8">
        <f>PROPER(TRIM(SUBSTITUTE(SUBSTITUTE(SUBSTITUTE(SUBSTITUTE(E60,"TRESEMME","Tresemme"),"HEAD &amp; SHOULDERS","Head &amp; Shoulders"),"ELVIVE","Elvive"),"FRUCTIS","Fructis")))</f>
        <v/>
      </c>
      <c r="R60" s="8">
        <f>COUNTIF($D$2:$D$10000,D60)&gt;1</f>
        <v/>
      </c>
      <c r="S60" s="8">
        <f>IF(H60=TRUE,"Disponible","No disponible")</f>
        <v/>
      </c>
      <c r="T60" s="8">
        <f>IF(AND(ISNUMBER(I60),I60&gt;0),ROUND(F60/I60,2),"Sin volumen")</f>
        <v/>
      </c>
      <c r="U60" s="8">
        <f>IF(F60&lt;5000,"Bajo",IF(F60&lt;15000,"Medio","Alto"))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TRIM(CLEAN(PROPER(D62)))</f>
        <v/>
      </c>
      <c r="Q62" s="8">
        <f>PROPER(TRIM(SUBSTITUTE(SUBSTITUTE(SUBSTITUTE(SUBSTITUTE(E62,"TRESEMME","Tresemme"),"HEAD &amp; SHOULDERS","Head &amp; Shoulders"),"ELVIVE","Elvive"),"FRUCTIS","Fructis")))</f>
        <v/>
      </c>
      <c r="R62" s="8">
        <f>COUNTIF($D$2:$D$10000,D62)&gt;1</f>
        <v/>
      </c>
      <c r="S62" s="8">
        <f>IF(H62=TRUE,"Disponible","No disponible")</f>
        <v/>
      </c>
      <c r="T62" s="8">
        <f>IF(AND(ISNUMBER(I62),I62&gt;0),ROUND(F62/I62,2),"Sin volumen")</f>
        <v/>
      </c>
      <c r="U62" s="8">
        <f>IF(F62&lt;5000,"Bajo",IF(F62&lt;15000,"Medio","Alto"))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TRIM(CLEAN(PROPER(D64)))</f>
        <v/>
      </c>
      <c r="Q64" s="8">
        <f>PROPER(TRIM(SUBSTITUTE(SUBSTITUTE(SUBSTITUTE(SUBSTITUTE(E64,"TRESEMME","Tresemme"),"HEAD &amp; SHOULDERS","Head &amp; Shoulders"),"ELVIVE","Elvive"),"FRUCTIS","Fructis")))</f>
        <v/>
      </c>
      <c r="R64" s="8">
        <f>COUNTIF($D$2:$D$10000,D64)&gt;1</f>
        <v/>
      </c>
      <c r="S64" s="8">
        <f>IF(H64=TRUE,"Disponible","No disponible")</f>
        <v/>
      </c>
      <c r="T64" s="8">
        <f>IF(AND(ISNUMBER(I64),I64&gt;0),ROUND(F64/I64,2),"Sin volumen")</f>
        <v/>
      </c>
      <c r="U64" s="8">
        <f>IF(F64&lt;5000,"Bajo",IF(F64&lt;15000,"Medio","Alto"))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TRIM(CLEAN(PROPER(D66)))</f>
        <v/>
      </c>
      <c r="Q66" s="8">
        <f>PROPER(TRIM(SUBSTITUTE(SUBSTITUTE(SUBSTITUTE(SUBSTITUTE(E66,"TRESEMME","Tresemme"),"HEAD &amp; SHOULDERS","Head &amp; Shoulders"),"ELVIVE","Elvive"),"FRUCTIS","Fructis")))</f>
        <v/>
      </c>
      <c r="R66" s="8">
        <f>COUNTIF($D$2:$D$10000,D66)&gt;1</f>
        <v/>
      </c>
      <c r="S66" s="8">
        <f>IF(H66=TRUE,"Disponible","No disponible")</f>
        <v/>
      </c>
      <c r="T66" s="8">
        <f>IF(AND(ISNUMBER(I66),I66&gt;0),ROUND(F66/I66,2),"Sin volumen")</f>
        <v/>
      </c>
      <c r="U66" s="8">
        <f>IF(F66&lt;5000,"Bajo",IF(F66&lt;15000,"Medio","Alto"))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TRIM(CLEAN(PROPER(D68)))</f>
        <v/>
      </c>
      <c r="Q68" s="8">
        <f>PROPER(TRIM(SUBSTITUTE(SUBSTITUTE(SUBSTITUTE(SUBSTITUTE(E68,"TRESEMME","Tresemme"),"HEAD &amp; SHOULDERS","Head &amp; Shoulders"),"ELVIVE","Elvive"),"FRUCTIS","Fructis")))</f>
        <v/>
      </c>
      <c r="R68" s="8">
        <f>COUNTIF($D$2:$D$10000,D68)&gt;1</f>
        <v/>
      </c>
      <c r="S68" s="8">
        <f>IF(H68=TRUE,"Disponible","No disponible")</f>
        <v/>
      </c>
      <c r="T68" s="8">
        <f>IF(AND(ISNUMBER(I68),I68&gt;0),ROUND(F68/I68,2),"Sin volumen")</f>
        <v/>
      </c>
      <c r="U68" s="8">
        <f>IF(F68&lt;5000,"Bajo",IF(F68&lt;15000,"Medio","Alto"))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TRIM(CLEAN(PROPER(D70)))</f>
        <v/>
      </c>
      <c r="Q70" s="8">
        <f>PROPER(TRIM(SUBSTITUTE(SUBSTITUTE(SUBSTITUTE(SUBSTITUTE(E70,"TRESEMME","Tresemme"),"HEAD &amp; SHOULDERS","Head &amp; Shoulders"),"ELVIVE","Elvive"),"FRUCTIS","Fructis")))</f>
        <v/>
      </c>
      <c r="R70" s="8">
        <f>COUNTIF($D$2:$D$10000,D70)&gt;1</f>
        <v/>
      </c>
      <c r="S70" s="8">
        <f>IF(H70=TRUE,"Disponible","No disponible")</f>
        <v/>
      </c>
      <c r="T70" s="8">
        <f>IF(AND(ISNUMBER(I70),I70&gt;0),ROUND(F70/I70,2),"Sin volumen")</f>
        <v/>
      </c>
      <c r="U70" s="8">
        <f>IF(F70&lt;5000,"Bajo",IF(F70&lt;15000,"Medio","Alto"))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TRIM(CLEAN(PROPER(D72)))</f>
        <v/>
      </c>
      <c r="Q72" s="8">
        <f>PROPER(TRIM(SUBSTITUTE(SUBSTITUTE(SUBSTITUTE(SUBSTITUTE(E72,"TRESEMME","Tresemme"),"HEAD &amp; SHOULDERS","Head &amp; Shoulders"),"ELVIVE","Elvive"),"FRUCTIS","Fructis")))</f>
        <v/>
      </c>
      <c r="R72" s="8">
        <f>COUNTIF($D$2:$D$10000,D72)&gt;1</f>
        <v/>
      </c>
      <c r="S72" s="8">
        <f>IF(H72=TRUE,"Disponible","No disponible")</f>
        <v/>
      </c>
      <c r="T72" s="8">
        <f>IF(AND(ISNUMBER(I72),I72&gt;0),ROUND(F72/I72,2),"Sin volumen")</f>
        <v/>
      </c>
      <c r="U72" s="8">
        <f>IF(F72&lt;5000,"Bajo",IF(F72&lt;15000,"Medio","Alto"))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TRIM(CLEAN(PROPER(D74)))</f>
        <v/>
      </c>
      <c r="Q74" s="8">
        <f>PROPER(TRIM(SUBSTITUTE(SUBSTITUTE(SUBSTITUTE(SUBSTITUTE(E74,"TRESEMME","Tresemme"),"HEAD &amp; SHOULDERS","Head &amp; Shoulders"),"ELVIVE","Elvive"),"FRUCTIS","Fructis")))</f>
        <v/>
      </c>
      <c r="R74" s="8">
        <f>COUNTIF($D$2:$D$10000,D74)&gt;1</f>
        <v/>
      </c>
      <c r="S74" s="8">
        <f>IF(H74=TRUE,"Disponible","No disponible")</f>
        <v/>
      </c>
      <c r="T74" s="8">
        <f>IF(AND(ISNUMBER(I74),I74&gt;0),ROUND(F74/I74,2),"Sin volumen")</f>
        <v/>
      </c>
      <c r="U74" s="8">
        <f>IF(F74&lt;5000,"Bajo",IF(F74&lt;15000,"Medio","Alto"))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TRIM(CLEAN(PROPER(D76)))</f>
        <v/>
      </c>
      <c r="Q76" s="8">
        <f>PROPER(TRIM(SUBSTITUTE(SUBSTITUTE(SUBSTITUTE(SUBSTITUTE(E76,"TRESEMME","Tresemme"),"HEAD &amp; SHOULDERS","Head &amp; Shoulders"),"ELVIVE","Elvive"),"FRUCTIS","Fructis")))</f>
        <v/>
      </c>
      <c r="R76" s="8">
        <f>COUNTIF($D$2:$D$10000,D76)&gt;1</f>
        <v/>
      </c>
      <c r="S76" s="8">
        <f>IF(H76=TRUE,"Disponible","No disponible")</f>
        <v/>
      </c>
      <c r="T76" s="8">
        <f>IF(AND(ISNUMBER(I76),I76&gt;0),ROUND(F76/I76,2),"Sin volumen")</f>
        <v/>
      </c>
      <c r="U76" s="8">
        <f>IF(F76&lt;5000,"Bajo",IF(F76&lt;15000,"Medio","Alto"))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TRIM(CLEAN(PROPER(D78)))</f>
        <v/>
      </c>
      <c r="Q78" s="8">
        <f>PROPER(TRIM(SUBSTITUTE(SUBSTITUTE(SUBSTITUTE(SUBSTITUTE(E78,"TRESEMME","Tresemme"),"HEAD &amp; SHOULDERS","Head &amp; Shoulders"),"ELVIVE","Elvive"),"FRUCTIS","Fructis")))</f>
        <v/>
      </c>
      <c r="R78" s="8">
        <f>COUNTIF($D$2:$D$10000,D78)&gt;1</f>
        <v/>
      </c>
      <c r="S78" s="8">
        <f>IF(H78=TRUE,"Disponible","No disponible")</f>
        <v/>
      </c>
      <c r="T78" s="8">
        <f>IF(AND(ISNUMBER(I78),I78&gt;0),ROUND(F78/I78,2),"Sin volumen")</f>
        <v/>
      </c>
      <c r="U78" s="8">
        <f>IF(F78&lt;5000,"Bajo",IF(F78&lt;15000,"Medio","Alto"))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TRIM(CLEAN(PROPER(D80)))</f>
        <v/>
      </c>
      <c r="Q80" s="8">
        <f>PROPER(TRIM(SUBSTITUTE(SUBSTITUTE(SUBSTITUTE(SUBSTITUTE(E80,"TRESEMME","Tresemme"),"HEAD &amp; SHOULDERS","Head &amp; Shoulders"),"ELVIVE","Elvive"),"FRUCTIS","Fructis")))</f>
        <v/>
      </c>
      <c r="R80" s="8">
        <f>COUNTIF($D$2:$D$10000,D80)&gt;1</f>
        <v/>
      </c>
      <c r="S80" s="8">
        <f>IF(H80=TRUE,"Disponible","No disponible")</f>
        <v/>
      </c>
      <c r="T80" s="8">
        <f>IF(AND(ISNUMBER(I80),I80&gt;0),ROUND(F80/I80,2),"Sin volumen")</f>
        <v/>
      </c>
      <c r="U80" s="8">
        <f>IF(F80&lt;5000,"Bajo",IF(F80&lt;15000,"Medio","Alto"))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TRIM(CLEAN(PROPER(D82)))</f>
        <v/>
      </c>
      <c r="Q82" s="8">
        <f>PROPER(TRIM(SUBSTITUTE(SUBSTITUTE(SUBSTITUTE(SUBSTITUTE(E82,"TRESEMME","Tresemme"),"HEAD &amp; SHOULDERS","Head &amp; Shoulders"),"ELVIVE","Elvive"),"FRUCTIS","Fructis")))</f>
        <v/>
      </c>
      <c r="R82" s="8">
        <f>COUNTIF($D$2:$D$10000,D82)&gt;1</f>
        <v/>
      </c>
      <c r="S82" s="8">
        <f>IF(H82=TRUE,"Disponible","No disponible")</f>
        <v/>
      </c>
      <c r="T82" s="8">
        <f>IF(AND(ISNUMBER(I82),I82&gt;0),ROUND(F82/I82,2),"Sin volumen")</f>
        <v/>
      </c>
      <c r="U82" s="8">
        <f>IF(F82&lt;5000,"Bajo",IF(F82&lt;15000,"Medio","Alto"))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TRIM(CLEAN(PROPER(D84)))</f>
        <v/>
      </c>
      <c r="Q84" s="8">
        <f>PROPER(TRIM(SUBSTITUTE(SUBSTITUTE(SUBSTITUTE(SUBSTITUTE(E84,"TRESEMME","Tresemme"),"HEAD &amp; SHOULDERS","Head &amp; Shoulders"),"ELVIVE","Elvive"),"FRUCTIS","Fructis")))</f>
        <v/>
      </c>
      <c r="R84" s="8">
        <f>COUNTIF($D$2:$D$10000,D84)&gt;1</f>
        <v/>
      </c>
      <c r="S84" s="8">
        <f>IF(H84=TRUE,"Disponible","No disponible")</f>
        <v/>
      </c>
      <c r="T84" s="8">
        <f>IF(AND(ISNUMBER(I84),I84&gt;0),ROUND(F84/I84,2),"Sin volumen")</f>
        <v/>
      </c>
      <c r="U84" s="8">
        <f>IF(F84&lt;5000,"Bajo",IF(F84&lt;15000,"Medio","Alto"))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TRIM(CLEAN(PROPER(D86)))</f>
        <v/>
      </c>
      <c r="Q86" s="8">
        <f>PROPER(TRIM(SUBSTITUTE(SUBSTITUTE(SUBSTITUTE(SUBSTITUTE(E86,"TRESEMME","Tresemme"),"HEAD &amp; SHOULDERS","Head &amp; Shoulders"),"ELVIVE","Elvive"),"FRUCTIS","Fructis")))</f>
        <v/>
      </c>
      <c r="R86" s="8">
        <f>COUNTIF($D$2:$D$10000,D86)&gt;1</f>
        <v/>
      </c>
      <c r="S86" s="8">
        <f>IF(H86=TRUE,"Disponible","No disponible")</f>
        <v/>
      </c>
      <c r="T86" s="8">
        <f>IF(AND(ISNUMBER(I86),I86&gt;0),ROUND(F86/I86,2),"Sin volumen")</f>
        <v/>
      </c>
      <c r="U86" s="8">
        <f>IF(F86&lt;5000,"Bajo",IF(F86&lt;15000,"Medio","Alto"))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TRIM(CLEAN(PROPER(D88)))</f>
        <v/>
      </c>
      <c r="Q88" s="8">
        <f>PROPER(TRIM(SUBSTITUTE(SUBSTITUTE(SUBSTITUTE(SUBSTITUTE(E88,"TRESEMME","Tresemme"),"HEAD &amp; SHOULDERS","Head &amp; Shoulders"),"ELVIVE","Elvive"),"FRUCTIS","Fructis")))</f>
        <v/>
      </c>
      <c r="R88" s="8">
        <f>COUNTIF($D$2:$D$10000,D88)&gt;1</f>
        <v/>
      </c>
      <c r="S88" s="8">
        <f>IF(H88=TRUE,"Disponible","No disponible")</f>
        <v/>
      </c>
      <c r="T88" s="8">
        <f>IF(AND(ISNUMBER(I88),I88&gt;0),ROUND(F88/I88,2),"Sin volumen")</f>
        <v/>
      </c>
      <c r="U88" s="8">
        <f>IF(F88&lt;5000,"Bajo",IF(F88&lt;15000,"Medio","Alto"))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TRIM(CLEAN(PROPER(D90)))</f>
        <v/>
      </c>
      <c r="Q90" s="8">
        <f>PROPER(TRIM(SUBSTITUTE(SUBSTITUTE(SUBSTITUTE(SUBSTITUTE(E90,"TRESEMME","Tresemme"),"HEAD &amp; SHOULDERS","Head &amp; Shoulders"),"ELVIVE","Elvive"),"FRUCTIS","Fructis")))</f>
        <v/>
      </c>
      <c r="R90" s="8">
        <f>COUNTIF($D$2:$D$10000,D90)&gt;1</f>
        <v/>
      </c>
      <c r="S90" s="8">
        <f>IF(H90=TRUE,"Disponible","No disponible")</f>
        <v/>
      </c>
      <c r="T90" s="8">
        <f>IF(AND(ISNUMBER(I90),I90&gt;0),ROUND(F90/I90,2),"Sin volumen")</f>
        <v/>
      </c>
      <c r="U90" s="8">
        <f>IF(F90&lt;5000,"Bajo",IF(F90&lt;15000,"Medio","Alto"))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TRIM(CLEAN(PROPER(D92)))</f>
        <v/>
      </c>
      <c r="Q92" s="8">
        <f>PROPER(TRIM(SUBSTITUTE(SUBSTITUTE(SUBSTITUTE(SUBSTITUTE(E92,"TRESEMME","Tresemme"),"HEAD &amp; SHOULDERS","Head &amp; Shoulders"),"ELVIVE","Elvive"),"FRUCTIS","Fructis")))</f>
        <v/>
      </c>
      <c r="R92" s="8">
        <f>COUNTIF($D$2:$D$10000,D92)&gt;1</f>
        <v/>
      </c>
      <c r="S92" s="8">
        <f>IF(H92=TRUE,"Disponible","No disponible")</f>
        <v/>
      </c>
      <c r="T92" s="8">
        <f>IF(AND(ISNUMBER(I92),I92&gt;0),ROUND(F92/I92,2),"Sin volumen")</f>
        <v/>
      </c>
      <c r="U92" s="8">
        <f>IF(F92&lt;5000,"Bajo",IF(F92&lt;15000,"Medio","Alto"))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TRIM(CLEAN(PROPER(D94)))</f>
        <v/>
      </c>
      <c r="Q94" s="8">
        <f>PROPER(TRIM(SUBSTITUTE(SUBSTITUTE(SUBSTITUTE(SUBSTITUTE(E94,"TRESEMME","Tresemme"),"HEAD &amp; SHOULDERS","Head &amp; Shoulders"),"ELVIVE","Elvive"),"FRUCTIS","Fructis")))</f>
        <v/>
      </c>
      <c r="R94" s="8">
        <f>COUNTIF($D$2:$D$10000,D94)&gt;1</f>
        <v/>
      </c>
      <c r="S94" s="8">
        <f>IF(H94=TRUE,"Disponible","No disponible")</f>
        <v/>
      </c>
      <c r="T94" s="8">
        <f>IF(AND(ISNUMBER(I94),I94&gt;0),ROUND(F94/I94,2),"Sin volumen")</f>
        <v/>
      </c>
      <c r="U94" s="8">
        <f>IF(F94&lt;5000,"Bajo",IF(F94&lt;15000,"Medio","Alto"))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TRIM(CLEAN(PROPER(D96)))</f>
        <v/>
      </c>
      <c r="Q96" s="8">
        <f>PROPER(TRIM(SUBSTITUTE(SUBSTITUTE(SUBSTITUTE(SUBSTITUTE(E96,"TRESEMME","Tresemme"),"HEAD &amp; SHOULDERS","Head &amp; Shoulders"),"ELVIVE","Elvive"),"FRUCTIS","Fructis")))</f>
        <v/>
      </c>
      <c r="R96" s="8">
        <f>COUNTIF($D$2:$D$10000,D96)&gt;1</f>
        <v/>
      </c>
      <c r="S96" s="8">
        <f>IF(H96=TRUE,"Disponible","No disponible")</f>
        <v/>
      </c>
      <c r="T96" s="8">
        <f>IF(AND(ISNUMBER(I96),I96&gt;0),ROUND(F96/I96,2),"Sin volumen")</f>
        <v/>
      </c>
      <c r="U96" s="8">
        <f>IF(F96&lt;5000,"Bajo",IF(F96&lt;15000,"Medio","Alto"))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TRIM(CLEAN(PROPER(D98)))</f>
        <v/>
      </c>
      <c r="Q98" s="8">
        <f>PROPER(TRIM(SUBSTITUTE(SUBSTITUTE(SUBSTITUTE(SUBSTITUTE(E98,"TRESEMME","Tresemme"),"HEAD &amp; SHOULDERS","Head &amp; Shoulders"),"ELVIVE","Elvive"),"FRUCTIS","Fructis")))</f>
        <v/>
      </c>
      <c r="R98" s="8">
        <f>COUNTIF($D$2:$D$10000,D98)&gt;1</f>
        <v/>
      </c>
      <c r="S98" s="8">
        <f>IF(H98=TRUE,"Disponible","No disponible")</f>
        <v/>
      </c>
      <c r="T98" s="8">
        <f>IF(AND(ISNUMBER(I98),I98&gt;0),ROUND(F98/I98,2),"Sin volumen")</f>
        <v/>
      </c>
      <c r="U98" s="8">
        <f>IF(F98&lt;5000,"Bajo",IF(F98&lt;15000,"Medio","Alto"))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TRIM(CLEAN(PROPER(D100)))</f>
        <v/>
      </c>
      <c r="Q100" s="8">
        <f>PROPER(TRIM(SUBSTITUTE(SUBSTITUTE(SUBSTITUTE(SUBSTITUTE(E100,"TRESEMME","Tresemme"),"HEAD &amp; SHOULDERS","Head &amp; Shoulders"),"ELVIVE","Elvive"),"FRUCTIS","Fructis")))</f>
        <v/>
      </c>
      <c r="R100" s="8">
        <f>COUNTIF($D$2:$D$10000,D100)&gt;1</f>
        <v/>
      </c>
      <c r="S100" s="8">
        <f>IF(H100=TRUE,"Disponible","No disponible")</f>
        <v/>
      </c>
      <c r="T100" s="8">
        <f>IF(AND(ISNUMBER(I100),I100&gt;0),ROUND(F100/I100,2),"Sin volumen")</f>
        <v/>
      </c>
      <c r="U100" s="8">
        <f>IF(F100&lt;5000,"Bajo",IF(F100&lt;15000,"Medio","Alto"))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TRIM(CLEAN(PROPER(D102)))</f>
        <v/>
      </c>
      <c r="Q102" s="8">
        <f>PROPER(TRIM(SUBSTITUTE(SUBSTITUTE(SUBSTITUTE(SUBSTITUTE(E102,"TRESEMME","Tresemme"),"HEAD &amp; SHOULDERS","Head &amp; Shoulders"),"ELVIVE","Elvive"),"FRUCTIS","Fructis")))</f>
        <v/>
      </c>
      <c r="R102" s="8">
        <f>COUNTIF($D$2:$D$10000,D102)&gt;1</f>
        <v/>
      </c>
      <c r="S102" s="8">
        <f>IF(H102=TRUE,"Disponible","No disponible")</f>
        <v/>
      </c>
      <c r="T102" s="8">
        <f>IF(AND(ISNUMBER(I102),I102&gt;0),ROUND(F102/I102,2),"Sin volumen")</f>
        <v/>
      </c>
      <c r="U102" s="8">
        <f>IF(F102&lt;5000,"Bajo",IF(F102&lt;15000,"Medio","Alto"))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TRIM(CLEAN(PROPER(D104)))</f>
        <v/>
      </c>
      <c r="Q104" s="8">
        <f>PROPER(TRIM(SUBSTITUTE(SUBSTITUTE(SUBSTITUTE(SUBSTITUTE(E104,"TRESEMME","Tresemme"),"HEAD &amp; SHOULDERS","Head &amp; Shoulders"),"ELVIVE","Elvive"),"FRUCTIS","Fructis")))</f>
        <v/>
      </c>
      <c r="R104" s="8">
        <f>COUNTIF($D$2:$D$10000,D104)&gt;1</f>
        <v/>
      </c>
      <c r="S104" s="8">
        <f>IF(H104=TRUE,"Disponible","No disponible")</f>
        <v/>
      </c>
      <c r="T104" s="8">
        <f>IF(AND(ISNUMBER(I104),I104&gt;0),ROUND(F104/I104,2),"Sin volumen")</f>
        <v/>
      </c>
      <c r="U104" s="8">
        <f>IF(F104&lt;5000,"Bajo",IF(F104&lt;15000,"Medio","Alto"))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TRIM(CLEAN(PROPER(D106)))</f>
        <v/>
      </c>
      <c r="Q106" s="8">
        <f>PROPER(TRIM(SUBSTITUTE(SUBSTITUTE(SUBSTITUTE(SUBSTITUTE(E106,"TRESEMME","Tresemme"),"HEAD &amp; SHOULDERS","Head &amp; Shoulders"),"ELVIVE","Elvive"),"FRUCTIS","Fructis")))</f>
        <v/>
      </c>
      <c r="R106" s="8">
        <f>COUNTIF($D$2:$D$10000,D106)&gt;1</f>
        <v/>
      </c>
      <c r="S106" s="8">
        <f>IF(H106=TRUE,"Disponible","No disponible")</f>
        <v/>
      </c>
      <c r="T106" s="8">
        <f>IF(AND(ISNUMBER(I106),I106&gt;0),ROUND(F106/I106,2),"Sin volumen")</f>
        <v/>
      </c>
      <c r="U106" s="8">
        <f>IF(F106&lt;5000,"Bajo",IF(F106&lt;15000,"Medio","Alto"))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TRIM(CLEAN(PROPER(D108)))</f>
        <v/>
      </c>
      <c r="Q108" s="8">
        <f>PROPER(TRIM(SUBSTITUTE(SUBSTITUTE(SUBSTITUTE(SUBSTITUTE(E108,"TRESEMME","Tresemme"),"HEAD &amp; SHOULDERS","Head &amp; Shoulders"),"ELVIVE","Elvive"),"FRUCTIS","Fructis")))</f>
        <v/>
      </c>
      <c r="R108" s="8">
        <f>COUNTIF($D$2:$D$10000,D108)&gt;1</f>
        <v/>
      </c>
      <c r="S108" s="8">
        <f>IF(H108=TRUE,"Disponible","No disponible")</f>
        <v/>
      </c>
      <c r="T108" s="8">
        <f>IF(AND(ISNUMBER(I108),I108&gt;0),ROUND(F108/I108,2),"Sin volumen")</f>
        <v/>
      </c>
      <c r="U108" s="8">
        <f>IF(F108&lt;5000,"Bajo",IF(F108&lt;15000,"Medio","Alto"))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TRIM(CLEAN(PROPER(D110)))</f>
        <v/>
      </c>
      <c r="Q110" s="8">
        <f>PROPER(TRIM(SUBSTITUTE(SUBSTITUTE(SUBSTITUTE(SUBSTITUTE(E110,"TRESEMME","Tresemme"),"HEAD &amp; SHOULDERS","Head &amp; Shoulders"),"ELVIVE","Elvive"),"FRUCTIS","Fructis")))</f>
        <v/>
      </c>
      <c r="R110" s="8">
        <f>COUNTIF($D$2:$D$10000,D110)&gt;1</f>
        <v/>
      </c>
      <c r="S110" s="8">
        <f>IF(H110=TRUE,"Disponible","No disponible")</f>
        <v/>
      </c>
      <c r="T110" s="8">
        <f>IF(AND(ISNUMBER(I110),I110&gt;0),ROUND(F110/I110,2),"Sin volumen")</f>
        <v/>
      </c>
      <c r="U110" s="8">
        <f>IF(F110&lt;5000,"Bajo",IF(F110&lt;15000,"Medio","Alto"))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TRIM(CLEAN(PROPER(D112)))</f>
        <v/>
      </c>
      <c r="Q112" s="8">
        <f>PROPER(TRIM(SUBSTITUTE(SUBSTITUTE(SUBSTITUTE(SUBSTITUTE(E112,"TRESEMME","Tresemme"),"HEAD &amp; SHOULDERS","Head &amp; Shoulders"),"ELVIVE","Elvive"),"FRUCTIS","Fructis")))</f>
        <v/>
      </c>
      <c r="R112" s="8">
        <f>COUNTIF($D$2:$D$10000,D112)&gt;1</f>
        <v/>
      </c>
      <c r="S112" s="8">
        <f>IF(H112=TRUE,"Disponible","No disponible")</f>
        <v/>
      </c>
      <c r="T112" s="8">
        <f>IF(AND(ISNUMBER(I112),I112&gt;0),ROUND(F112/I112,2),"Sin volumen")</f>
        <v/>
      </c>
      <c r="U112" s="8">
        <f>IF(F112&lt;5000,"Bajo",IF(F112&lt;15000,"Medio","Alto"))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TRIM(CLEAN(PROPER(D114)))</f>
        <v/>
      </c>
      <c r="Q114" s="8">
        <f>PROPER(TRIM(SUBSTITUTE(SUBSTITUTE(SUBSTITUTE(SUBSTITUTE(E114,"TRESEMME","Tresemme"),"HEAD &amp; SHOULDERS","Head &amp; Shoulders"),"ELVIVE","Elvive"),"FRUCTIS","Fructis")))</f>
        <v/>
      </c>
      <c r="R114" s="8">
        <f>COUNTIF($D$2:$D$10000,D114)&gt;1</f>
        <v/>
      </c>
      <c r="S114" s="8">
        <f>IF(H114=TRUE,"Disponible","No disponible")</f>
        <v/>
      </c>
      <c r="T114" s="8">
        <f>IF(AND(ISNUMBER(I114),I114&gt;0),ROUND(F114/I114,2),"Sin volumen")</f>
        <v/>
      </c>
      <c r="U114" s="8">
        <f>IF(F114&lt;5000,"Bajo",IF(F114&lt;15000,"Medio","Alto"))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TRIM(CLEAN(PROPER(D116)))</f>
        <v/>
      </c>
      <c r="Q116" s="8">
        <f>PROPER(TRIM(SUBSTITUTE(SUBSTITUTE(SUBSTITUTE(SUBSTITUTE(E116,"TRESEMME","Tresemme"),"HEAD &amp; SHOULDERS","Head &amp; Shoulders"),"ELVIVE","Elvive"),"FRUCTIS","Fructis")))</f>
        <v/>
      </c>
      <c r="R116" s="8">
        <f>COUNTIF($D$2:$D$10000,D116)&gt;1</f>
        <v/>
      </c>
      <c r="S116" s="8">
        <f>IF(H116=TRUE,"Disponible","No disponible")</f>
        <v/>
      </c>
      <c r="T116" s="8">
        <f>IF(AND(ISNUMBER(I116),I116&gt;0),ROUND(F116/I116,2),"Sin volumen")</f>
        <v/>
      </c>
      <c r="U116" s="8">
        <f>IF(F116&lt;5000,"Bajo",IF(F116&lt;15000,"Medio","Alto"))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TRIM(CLEAN(PROPER(D118)))</f>
        <v/>
      </c>
      <c r="Q118" s="8">
        <f>PROPER(TRIM(SUBSTITUTE(SUBSTITUTE(SUBSTITUTE(SUBSTITUTE(E118,"TRESEMME","Tresemme"),"HEAD &amp; SHOULDERS","Head &amp; Shoulders"),"ELVIVE","Elvive"),"FRUCTIS","Fructis")))</f>
        <v/>
      </c>
      <c r="R118" s="8">
        <f>COUNTIF($D$2:$D$10000,D118)&gt;1</f>
        <v/>
      </c>
      <c r="S118" s="8">
        <f>IF(H118=TRUE,"Disponible","No disponible")</f>
        <v/>
      </c>
      <c r="T118" s="8">
        <f>IF(AND(ISNUMBER(I118),I118&gt;0),ROUND(F118/I118,2),"Sin volumen")</f>
        <v/>
      </c>
      <c r="U118" s="8">
        <f>IF(F118&lt;5000,"Bajo",IF(F118&lt;15000,"Medio","Alto"))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TRIM(CLEAN(PROPER(D120)))</f>
        <v/>
      </c>
      <c r="Q120" s="8">
        <f>PROPER(TRIM(SUBSTITUTE(SUBSTITUTE(SUBSTITUTE(SUBSTITUTE(E120,"TRESEMME","Tresemme"),"HEAD &amp; SHOULDERS","Head &amp; Shoulders"),"ELVIVE","Elvive"),"FRUCTIS","Fructis")))</f>
        <v/>
      </c>
      <c r="R120" s="8">
        <f>COUNTIF($D$2:$D$10000,D120)&gt;1</f>
        <v/>
      </c>
      <c r="S120" s="8">
        <f>IF(H120=TRUE,"Disponible","No disponible")</f>
        <v/>
      </c>
      <c r="T120" s="8">
        <f>IF(AND(ISNUMBER(I120),I120&gt;0),ROUND(F120/I120,2),"Sin volumen")</f>
        <v/>
      </c>
      <c r="U120" s="8">
        <f>IF(F120&lt;5000,"Bajo",IF(F120&lt;15000,"Medio","Alto"))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TRIM(CLEAN(PROPER(D122)))</f>
        <v/>
      </c>
      <c r="Q122" s="8">
        <f>PROPER(TRIM(SUBSTITUTE(SUBSTITUTE(SUBSTITUTE(SUBSTITUTE(E122,"TRESEMME","Tresemme"),"HEAD &amp; SHOULDERS","Head &amp; Shoulders"),"ELVIVE","Elvive"),"FRUCTIS","Fructis")))</f>
        <v/>
      </c>
      <c r="R122" s="8">
        <f>COUNTIF($D$2:$D$10000,D122)&gt;1</f>
        <v/>
      </c>
      <c r="S122" s="8">
        <f>IF(H122=TRUE,"Disponible","No disponible")</f>
        <v/>
      </c>
      <c r="T122" s="8">
        <f>IF(AND(ISNUMBER(I122),I122&gt;0),ROUND(F122/I122,2),"Sin volumen")</f>
        <v/>
      </c>
      <c r="U122" s="8">
        <f>IF(F122&lt;5000,"Bajo",IF(F122&lt;15000,"Medio","Alto"))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TRIM(CLEAN(PROPER(D124)))</f>
        <v/>
      </c>
      <c r="Q124" s="8">
        <f>PROPER(TRIM(SUBSTITUTE(SUBSTITUTE(SUBSTITUTE(SUBSTITUTE(E124,"TRESEMME","Tresemme"),"HEAD &amp; SHOULDERS","Head &amp; Shoulders"),"ELVIVE","Elvive"),"FRUCTIS","Fructis")))</f>
        <v/>
      </c>
      <c r="R124" s="8">
        <f>COUNTIF($D$2:$D$10000,D124)&gt;1</f>
        <v/>
      </c>
      <c r="S124" s="8">
        <f>IF(H124=TRUE,"Disponible","No disponible")</f>
        <v/>
      </c>
      <c r="T124" s="8">
        <f>IF(AND(ISNUMBER(I124),I124&gt;0),ROUND(F124/I124,2),"Sin volumen")</f>
        <v/>
      </c>
      <c r="U124" s="8">
        <f>IF(F124&lt;5000,"Bajo",IF(F124&lt;15000,"Medio","Alto"))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TRIM(CLEAN(PROPER(D126)))</f>
        <v/>
      </c>
      <c r="Q126" s="8">
        <f>PROPER(TRIM(SUBSTITUTE(SUBSTITUTE(SUBSTITUTE(SUBSTITUTE(E126,"TRESEMME","Tresemme"),"HEAD &amp; SHOULDERS","Head &amp; Shoulders"),"ELVIVE","Elvive"),"FRUCTIS","Fructis")))</f>
        <v/>
      </c>
      <c r="R126" s="8">
        <f>COUNTIF($D$2:$D$10000,D126)&gt;1</f>
        <v/>
      </c>
      <c r="S126" s="8">
        <f>IF(H126=TRUE,"Disponible","No disponible")</f>
        <v/>
      </c>
      <c r="T126" s="8">
        <f>IF(AND(ISNUMBER(I126),I126&gt;0),ROUND(F126/I126,2),"Sin volumen")</f>
        <v/>
      </c>
      <c r="U126" s="8">
        <f>IF(F126&lt;5000,"Bajo",IF(F126&lt;15000,"Medio","Alto"))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TRIM(CLEAN(PROPER(D128)))</f>
        <v/>
      </c>
      <c r="Q128" s="8">
        <f>PROPER(TRIM(SUBSTITUTE(SUBSTITUTE(SUBSTITUTE(SUBSTITUTE(E128,"TRESEMME","Tresemme"),"HEAD &amp; SHOULDERS","Head &amp; Shoulders"),"ELVIVE","Elvive"),"FRUCTIS","Fructis")))</f>
        <v/>
      </c>
      <c r="R128" s="8">
        <f>COUNTIF($D$2:$D$10000,D128)&gt;1</f>
        <v/>
      </c>
      <c r="S128" s="8">
        <f>IF(H128=TRUE,"Disponible","No disponible")</f>
        <v/>
      </c>
      <c r="T128" s="8">
        <f>IF(AND(ISNUMBER(I128),I128&gt;0),ROUND(F128/I128,2),"Sin volumen")</f>
        <v/>
      </c>
      <c r="U128" s="8">
        <f>IF(F128&lt;5000,"Bajo",IF(F128&lt;15000,"Medio","Alto"))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TRIM(CLEAN(PROPER(D130)))</f>
        <v/>
      </c>
      <c r="Q130" s="8">
        <f>PROPER(TRIM(SUBSTITUTE(SUBSTITUTE(SUBSTITUTE(SUBSTITUTE(E130,"TRESEMME","Tresemme"),"HEAD &amp; SHOULDERS","Head &amp; Shoulders"),"ELVIVE","Elvive"),"FRUCTIS","Fructis")))</f>
        <v/>
      </c>
      <c r="R130" s="8">
        <f>COUNTIF($D$2:$D$10000,D130)&gt;1</f>
        <v/>
      </c>
      <c r="S130" s="8">
        <f>IF(H130=TRUE,"Disponible","No disponible")</f>
        <v/>
      </c>
      <c r="T130" s="8">
        <f>IF(AND(ISNUMBER(I130),I130&gt;0),ROUND(F130/I130,2),"Sin volumen")</f>
        <v/>
      </c>
      <c r="U130" s="8">
        <f>IF(F130&lt;5000,"Bajo",IF(F130&lt;15000,"Medio","Alto"))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TRIM(CLEAN(PROPER(D132)))</f>
        <v/>
      </c>
      <c r="Q132" s="8">
        <f>PROPER(TRIM(SUBSTITUTE(SUBSTITUTE(SUBSTITUTE(SUBSTITUTE(E132,"TRESEMME","Tresemme"),"HEAD &amp; SHOULDERS","Head &amp; Shoulders"),"ELVIVE","Elvive"),"FRUCTIS","Fructis")))</f>
        <v/>
      </c>
      <c r="R132" s="8">
        <f>COUNTIF($D$2:$D$10000,D132)&gt;1</f>
        <v/>
      </c>
      <c r="S132" s="8">
        <f>IF(H132=TRUE,"Disponible","No disponible")</f>
        <v/>
      </c>
      <c r="T132" s="8">
        <f>IF(AND(ISNUMBER(I132),I132&gt;0),ROUND(F132/I132,2),"Sin volumen")</f>
        <v/>
      </c>
      <c r="U132" s="8">
        <f>IF(F132&lt;5000,"Bajo",IF(F132&lt;15000,"Medio","Alto"))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TRIM(CLEAN(PROPER(D134)))</f>
        <v/>
      </c>
      <c r="Q134" s="8">
        <f>PROPER(TRIM(SUBSTITUTE(SUBSTITUTE(SUBSTITUTE(SUBSTITUTE(E134,"TRESEMME","Tresemme"),"HEAD &amp; SHOULDERS","Head &amp; Shoulders"),"ELVIVE","Elvive"),"FRUCTIS","Fructis")))</f>
        <v/>
      </c>
      <c r="R134" s="8">
        <f>COUNTIF($D$2:$D$10000,D134)&gt;1</f>
        <v/>
      </c>
      <c r="S134" s="8">
        <f>IF(H134=TRUE,"Disponible","No disponible")</f>
        <v/>
      </c>
      <c r="T134" s="8">
        <f>IF(AND(ISNUMBER(I134),I134&gt;0),ROUND(F134/I134,2),"Sin volumen")</f>
        <v/>
      </c>
      <c r="U134" s="8">
        <f>IF(F134&lt;5000,"Bajo",IF(F134&lt;15000,"Medio","Alto"))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TRIM(CLEAN(PROPER(D136)))</f>
        <v/>
      </c>
      <c r="Q136" s="8">
        <f>PROPER(TRIM(SUBSTITUTE(SUBSTITUTE(SUBSTITUTE(SUBSTITUTE(E136,"TRESEMME","Tresemme"),"HEAD &amp; SHOULDERS","Head &amp; Shoulders"),"ELVIVE","Elvive"),"FRUCTIS","Fructis")))</f>
        <v/>
      </c>
      <c r="R136" s="8">
        <f>COUNTIF($D$2:$D$10000,D136)&gt;1</f>
        <v/>
      </c>
      <c r="S136" s="8">
        <f>IF(H136=TRUE,"Disponible","No disponible")</f>
        <v/>
      </c>
      <c r="T136" s="8">
        <f>IF(AND(ISNUMBER(I136),I136&gt;0),ROUND(F136/I136,2),"Sin volumen")</f>
        <v/>
      </c>
      <c r="U136" s="8">
        <f>IF(F136&lt;5000,"Bajo",IF(F136&lt;15000,"Medio","Alto"))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TRIM(CLEAN(PROPER(D138)))</f>
        <v/>
      </c>
      <c r="Q138" s="8">
        <f>PROPER(TRIM(SUBSTITUTE(SUBSTITUTE(SUBSTITUTE(SUBSTITUTE(E138,"TRESEMME","Tresemme"),"HEAD &amp; SHOULDERS","Head &amp; Shoulders"),"ELVIVE","Elvive"),"FRUCTIS","Fructis")))</f>
        <v/>
      </c>
      <c r="R138" s="8">
        <f>COUNTIF($D$2:$D$10000,D138)&gt;1</f>
        <v/>
      </c>
      <c r="S138" s="8">
        <f>IF(H138=TRUE,"Disponible","No disponible")</f>
        <v/>
      </c>
      <c r="T138" s="8">
        <f>IF(AND(ISNUMBER(I138),I138&gt;0),ROUND(F138/I138,2),"Sin volumen")</f>
        <v/>
      </c>
      <c r="U138" s="8">
        <f>IF(F138&lt;5000,"Bajo",IF(F138&lt;15000,"Medio","Alto"))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TRIM(CLEAN(PROPER(D140)))</f>
        <v/>
      </c>
      <c r="Q140" s="8">
        <f>PROPER(TRIM(SUBSTITUTE(SUBSTITUTE(SUBSTITUTE(SUBSTITUTE(E140,"TRESEMME","Tresemme"),"HEAD &amp; SHOULDERS","Head &amp; Shoulders"),"ELVIVE","Elvive"),"FRUCTIS","Fructis")))</f>
        <v/>
      </c>
      <c r="R140" s="8">
        <f>COUNTIF($D$2:$D$10000,D140)&gt;1</f>
        <v/>
      </c>
      <c r="S140" s="8">
        <f>IF(H140=TRUE,"Disponible","No disponible")</f>
        <v/>
      </c>
      <c r="T140" s="8">
        <f>IF(AND(ISNUMBER(I140),I140&gt;0),ROUND(F140/I140,2),"Sin volumen")</f>
        <v/>
      </c>
      <c r="U140" s="8">
        <f>IF(F140&lt;5000,"Bajo",IF(F140&lt;15000,"Medio","Alto"))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TRIM(CLEAN(PROPER(D142)))</f>
        <v/>
      </c>
      <c r="Q142" s="8">
        <f>PROPER(TRIM(SUBSTITUTE(SUBSTITUTE(SUBSTITUTE(SUBSTITUTE(E142,"TRESEMME","Tresemme"),"HEAD &amp; SHOULDERS","Head &amp; Shoulders"),"ELVIVE","Elvive"),"FRUCTIS","Fructis")))</f>
        <v/>
      </c>
      <c r="R142" s="8">
        <f>COUNTIF($D$2:$D$10000,D142)&gt;1</f>
        <v/>
      </c>
      <c r="S142" s="8">
        <f>IF(H142=TRUE,"Disponible","No disponible")</f>
        <v/>
      </c>
      <c r="T142" s="8">
        <f>IF(AND(ISNUMBER(I142),I142&gt;0),ROUND(F142/I142,2),"Sin volumen")</f>
        <v/>
      </c>
      <c r="U142" s="8">
        <f>IF(F142&lt;5000,"Bajo",IF(F142&lt;15000,"Medio","Alto"))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TRIM(CLEAN(PROPER(D144)))</f>
        <v/>
      </c>
      <c r="Q144" s="8">
        <f>PROPER(TRIM(SUBSTITUTE(SUBSTITUTE(SUBSTITUTE(SUBSTITUTE(E144,"TRESEMME","Tresemme"),"HEAD &amp; SHOULDERS","Head &amp; Shoulders"),"ELVIVE","Elvive"),"FRUCTIS","Fructis")))</f>
        <v/>
      </c>
      <c r="R144" s="8">
        <f>COUNTIF($D$2:$D$10000,D144)&gt;1</f>
        <v/>
      </c>
      <c r="S144" s="8">
        <f>IF(H144=TRUE,"Disponible","No disponible")</f>
        <v/>
      </c>
      <c r="T144" s="8">
        <f>IF(AND(ISNUMBER(I144),I144&gt;0),ROUND(F144/I144,2),"Sin volumen")</f>
        <v/>
      </c>
      <c r="U144" s="8">
        <f>IF(F144&lt;5000,"Bajo",IF(F144&lt;15000,"Medio","Alto"))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TRIM(CLEAN(PROPER(D146)))</f>
        <v/>
      </c>
      <c r="Q146" s="8">
        <f>PROPER(TRIM(SUBSTITUTE(SUBSTITUTE(SUBSTITUTE(SUBSTITUTE(E146,"TRESEMME","Tresemme"),"HEAD &amp; SHOULDERS","Head &amp; Shoulders"),"ELVIVE","Elvive"),"FRUCTIS","Fructis")))</f>
        <v/>
      </c>
      <c r="R146" s="8">
        <f>COUNTIF($D$2:$D$10000,D146)&gt;1</f>
        <v/>
      </c>
      <c r="S146" s="8">
        <f>IF(H146=TRUE,"Disponible","No disponible")</f>
        <v/>
      </c>
      <c r="T146" s="8">
        <f>IF(AND(ISNUMBER(I146),I146&gt;0),ROUND(F146/I146,2),"Sin volumen")</f>
        <v/>
      </c>
      <c r="U146" s="8">
        <f>IF(F146&lt;5000,"Bajo",IF(F146&lt;15000,"Medio","Alto"))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TRIM(CLEAN(PROPER(D148)))</f>
        <v/>
      </c>
      <c r="Q148" s="8">
        <f>PROPER(TRIM(SUBSTITUTE(SUBSTITUTE(SUBSTITUTE(SUBSTITUTE(E148,"TRESEMME","Tresemme"),"HEAD &amp; SHOULDERS","Head &amp; Shoulders"),"ELVIVE","Elvive"),"FRUCTIS","Fructis")))</f>
        <v/>
      </c>
      <c r="R148" s="8">
        <f>COUNTIF($D$2:$D$10000,D148)&gt;1</f>
        <v/>
      </c>
      <c r="S148" s="8">
        <f>IF(H148=TRUE,"Disponible","No disponible")</f>
        <v/>
      </c>
      <c r="T148" s="8">
        <f>IF(AND(ISNUMBER(I148),I148&gt;0),ROUND(F148/I148,2),"Sin volumen")</f>
        <v/>
      </c>
      <c r="U148" s="8">
        <f>IF(F148&lt;5000,"Bajo",IF(F148&lt;15000,"Medio","Alto"))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TRIM(CLEAN(PROPER(D150)))</f>
        <v/>
      </c>
      <c r="Q150" s="8">
        <f>PROPER(TRIM(SUBSTITUTE(SUBSTITUTE(SUBSTITUTE(SUBSTITUTE(E150,"TRESEMME","Tresemme"),"HEAD &amp; SHOULDERS","Head &amp; Shoulders"),"ELVIVE","Elvive"),"FRUCTIS","Fructis")))</f>
        <v/>
      </c>
      <c r="R150" s="8">
        <f>COUNTIF($D$2:$D$10000,D150)&gt;1</f>
        <v/>
      </c>
      <c r="S150" s="8">
        <f>IF(H150=TRUE,"Disponible","No disponible")</f>
        <v/>
      </c>
      <c r="T150" s="8">
        <f>IF(AND(ISNUMBER(I150),I150&gt;0),ROUND(F150/I150,2),"Sin volumen")</f>
        <v/>
      </c>
      <c r="U150" s="8">
        <f>IF(F150&lt;5000,"Bajo",IF(F150&lt;15000,"Medio","Alto"))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TRIM(CLEAN(PROPER(D152)))</f>
        <v/>
      </c>
      <c r="Q152" s="8">
        <f>PROPER(TRIM(SUBSTITUTE(SUBSTITUTE(SUBSTITUTE(SUBSTITUTE(E152,"TRESEMME","Tresemme"),"HEAD &amp; SHOULDERS","Head &amp; Shoulders"),"ELVIVE","Elvive"),"FRUCTIS","Fructis")))</f>
        <v/>
      </c>
      <c r="R152" s="8">
        <f>COUNTIF($D$2:$D$10000,D152)&gt;1</f>
        <v/>
      </c>
      <c r="S152" s="8">
        <f>IF(H152=TRUE,"Disponible","No disponible")</f>
        <v/>
      </c>
      <c r="T152" s="8">
        <f>IF(AND(ISNUMBER(I152),I152&gt;0),ROUND(F152/I152,2),"Sin volumen")</f>
        <v/>
      </c>
      <c r="U152" s="8">
        <f>IF(F152&lt;5000,"Bajo",IF(F152&lt;15000,"Medio","Alto"))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TRIM(CLEAN(PROPER(D154)))</f>
        <v/>
      </c>
      <c r="Q154" s="8">
        <f>PROPER(TRIM(SUBSTITUTE(SUBSTITUTE(SUBSTITUTE(SUBSTITUTE(E154,"TRESEMME","Tresemme"),"HEAD &amp; SHOULDERS","Head &amp; Shoulders"),"ELVIVE","Elvive"),"FRUCTIS","Fructis")))</f>
        <v/>
      </c>
      <c r="R154" s="8">
        <f>COUNTIF($D$2:$D$10000,D154)&gt;1</f>
        <v/>
      </c>
      <c r="S154" s="8">
        <f>IF(H154=TRUE,"Disponible","No disponible")</f>
        <v/>
      </c>
      <c r="T154" s="8">
        <f>IF(AND(ISNUMBER(I154),I154&gt;0),ROUND(F154/I154,2),"Sin volumen")</f>
        <v/>
      </c>
      <c r="U154" s="8">
        <f>IF(F154&lt;5000,"Bajo",IF(F154&lt;15000,"Medio","Alto"))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TRIM(CLEAN(PROPER(D156)))</f>
        <v/>
      </c>
      <c r="Q156" s="8">
        <f>PROPER(TRIM(SUBSTITUTE(SUBSTITUTE(SUBSTITUTE(SUBSTITUTE(E156,"TRESEMME","Tresemme"),"HEAD &amp; SHOULDERS","Head &amp; Shoulders"),"ELVIVE","Elvive"),"FRUCTIS","Fructis")))</f>
        <v/>
      </c>
      <c r="R156" s="8">
        <f>COUNTIF($D$2:$D$10000,D156)&gt;1</f>
        <v/>
      </c>
      <c r="S156" s="8">
        <f>IF(H156=TRUE,"Disponible","No disponible")</f>
        <v/>
      </c>
      <c r="T156" s="8">
        <f>IF(AND(ISNUMBER(I156),I156&gt;0),ROUND(F156/I156,2),"Sin volumen")</f>
        <v/>
      </c>
      <c r="U156" s="8">
        <f>IF(F156&lt;5000,"Bajo",IF(F156&lt;15000,"Medio","Alto"))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TRIM(CLEAN(PROPER(D158)))</f>
        <v/>
      </c>
      <c r="Q158" s="8">
        <f>PROPER(TRIM(SUBSTITUTE(SUBSTITUTE(SUBSTITUTE(SUBSTITUTE(E158,"TRESEMME","Tresemme"),"HEAD &amp; SHOULDERS","Head &amp; Shoulders"),"ELVIVE","Elvive"),"FRUCTIS","Fructis")))</f>
        <v/>
      </c>
      <c r="R158" s="8">
        <f>COUNTIF($D$2:$D$10000,D158)&gt;1</f>
        <v/>
      </c>
      <c r="S158" s="8">
        <f>IF(H158=TRUE,"Disponible","No disponible")</f>
        <v/>
      </c>
      <c r="T158" s="8">
        <f>IF(AND(ISNUMBER(I158),I158&gt;0),ROUND(F158/I158,2),"Sin volumen")</f>
        <v/>
      </c>
      <c r="U158" s="8">
        <f>IF(F158&lt;5000,"Bajo",IF(F158&lt;15000,"Medio","Alto"))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TRIM(CLEAN(PROPER(D160)))</f>
        <v/>
      </c>
      <c r="Q160" s="8">
        <f>PROPER(TRIM(SUBSTITUTE(SUBSTITUTE(SUBSTITUTE(SUBSTITUTE(E160,"TRESEMME","Tresemme"),"HEAD &amp; SHOULDERS","Head &amp; Shoulders"),"ELVIVE","Elvive"),"FRUCTIS","Fructis")))</f>
        <v/>
      </c>
      <c r="R160" s="8">
        <f>COUNTIF($D$2:$D$10000,D160)&gt;1</f>
        <v/>
      </c>
      <c r="S160" s="8">
        <f>IF(H160=TRUE,"Disponible","No disponible")</f>
        <v/>
      </c>
      <c r="T160" s="8">
        <f>IF(AND(ISNUMBER(I160),I160&gt;0),ROUND(F160/I160,2),"Sin volumen")</f>
        <v/>
      </c>
      <c r="U160" s="8">
        <f>IF(F160&lt;5000,"Bajo",IF(F160&lt;15000,"Medio","Alto"))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TRIM(CLEAN(PROPER(D162)))</f>
        <v/>
      </c>
      <c r="Q162" s="8">
        <f>PROPER(TRIM(SUBSTITUTE(SUBSTITUTE(SUBSTITUTE(SUBSTITUTE(E162,"TRESEMME","Tresemme"),"HEAD &amp; SHOULDERS","Head &amp; Shoulders"),"ELVIVE","Elvive"),"FRUCTIS","Fructis")))</f>
        <v/>
      </c>
      <c r="R162" s="8">
        <f>COUNTIF($D$2:$D$10000,D162)&gt;1</f>
        <v/>
      </c>
      <c r="S162" s="8">
        <f>IF(H162=TRUE,"Disponible","No disponible")</f>
        <v/>
      </c>
      <c r="T162" s="8">
        <f>IF(AND(ISNUMBER(I162),I162&gt;0),ROUND(F162/I162,2),"Sin volumen")</f>
        <v/>
      </c>
      <c r="U162" s="8">
        <f>IF(F162&lt;5000,"Bajo",IF(F162&lt;15000,"Medio","Alto"))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TRIM(CLEAN(PROPER(D164)))</f>
        <v/>
      </c>
      <c r="Q164" s="8">
        <f>PROPER(TRIM(SUBSTITUTE(SUBSTITUTE(SUBSTITUTE(SUBSTITUTE(E164,"TRESEMME","Tresemme"),"HEAD &amp; SHOULDERS","Head &amp; Shoulders"),"ELVIVE","Elvive"),"FRUCTIS","Fructis")))</f>
        <v/>
      </c>
      <c r="R164" s="8">
        <f>COUNTIF($D$2:$D$10000,D164)&gt;1</f>
        <v/>
      </c>
      <c r="S164" s="8">
        <f>IF(H164=TRUE,"Disponible","No disponible")</f>
        <v/>
      </c>
      <c r="T164" s="8">
        <f>IF(AND(ISNUMBER(I164),I164&gt;0),ROUND(F164/I164,2),"Sin volumen")</f>
        <v/>
      </c>
      <c r="U164" s="8">
        <f>IF(F164&lt;5000,"Bajo",IF(F164&lt;15000,"Medio","Alto"))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TRIM(CLEAN(PROPER(D166)))</f>
        <v/>
      </c>
      <c r="Q166" s="8">
        <f>PROPER(TRIM(SUBSTITUTE(SUBSTITUTE(SUBSTITUTE(SUBSTITUTE(E166,"TRESEMME","Tresemme"),"HEAD &amp; SHOULDERS","Head &amp; Shoulders"),"ELVIVE","Elvive"),"FRUCTIS","Fructis")))</f>
        <v/>
      </c>
      <c r="R166" s="8">
        <f>COUNTIF($D$2:$D$10000,D166)&gt;1</f>
        <v/>
      </c>
      <c r="S166" s="8">
        <f>IF(H166=TRUE,"Disponible","No disponible")</f>
        <v/>
      </c>
      <c r="T166" s="8">
        <f>IF(AND(ISNUMBER(I166),I166&gt;0),ROUND(F166/I166,2),"Sin volumen")</f>
        <v/>
      </c>
      <c r="U166" s="8">
        <f>IF(F166&lt;5000,"Bajo",IF(F166&lt;15000,"Medio","Alto"))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TRIM(CLEAN(PROPER(D168)))</f>
        <v/>
      </c>
      <c r="Q168" s="8">
        <f>PROPER(TRIM(SUBSTITUTE(SUBSTITUTE(SUBSTITUTE(SUBSTITUTE(E168,"TRESEMME","Tresemme"),"HEAD &amp; SHOULDERS","Head &amp; Shoulders"),"ELVIVE","Elvive"),"FRUCTIS","Fructis")))</f>
        <v/>
      </c>
      <c r="R168" s="8">
        <f>COUNTIF($D$2:$D$10000,D168)&gt;1</f>
        <v/>
      </c>
      <c r="S168" s="8">
        <f>IF(H168=TRUE,"Disponible","No disponible")</f>
        <v/>
      </c>
      <c r="T168" s="8">
        <f>IF(AND(ISNUMBER(I168),I168&gt;0),ROUND(F168/I168,2),"Sin volumen")</f>
        <v/>
      </c>
      <c r="U168" s="8">
        <f>IF(F168&lt;5000,"Bajo",IF(F168&lt;15000,"Medio","Alto"))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TRIM(CLEAN(PROPER(D170)))</f>
        <v/>
      </c>
      <c r="Q170" s="8">
        <f>PROPER(TRIM(SUBSTITUTE(SUBSTITUTE(SUBSTITUTE(SUBSTITUTE(E170,"TRESEMME","Tresemme"),"HEAD &amp; SHOULDERS","Head &amp; Shoulders"),"ELVIVE","Elvive"),"FRUCTIS","Fructis")))</f>
        <v/>
      </c>
      <c r="R170" s="8">
        <f>COUNTIF($D$2:$D$10000,D170)&gt;1</f>
        <v/>
      </c>
      <c r="S170" s="8">
        <f>IF(H170=TRUE,"Disponible","No disponible")</f>
        <v/>
      </c>
      <c r="T170" s="8">
        <f>IF(AND(ISNUMBER(I170),I170&gt;0),ROUND(F170/I170,2),"Sin volumen")</f>
        <v/>
      </c>
      <c r="U170" s="8">
        <f>IF(F170&lt;5000,"Bajo",IF(F170&lt;15000,"Medio","Alto"))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TRIM(CLEAN(PROPER(D172)))</f>
        <v/>
      </c>
      <c r="Q172" s="8">
        <f>PROPER(TRIM(SUBSTITUTE(SUBSTITUTE(SUBSTITUTE(SUBSTITUTE(E172,"TRESEMME","Tresemme"),"HEAD &amp; SHOULDERS","Head &amp; Shoulders"),"ELVIVE","Elvive"),"FRUCTIS","Fructis")))</f>
        <v/>
      </c>
      <c r="R172" s="8">
        <f>COUNTIF($D$2:$D$10000,D172)&gt;1</f>
        <v/>
      </c>
      <c r="S172" s="8">
        <f>IF(H172=TRUE,"Disponible","No disponible")</f>
        <v/>
      </c>
      <c r="T172" s="8">
        <f>IF(AND(ISNUMBER(I172),I172&gt;0),ROUND(F172/I172,2),"Sin volumen")</f>
        <v/>
      </c>
      <c r="U172" s="8">
        <f>IF(F172&lt;5000,"Bajo",IF(F172&lt;15000,"Medio","Alto"))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TRIM(CLEAN(PROPER(D174)))</f>
        <v/>
      </c>
      <c r="Q174" s="8">
        <f>PROPER(TRIM(SUBSTITUTE(SUBSTITUTE(SUBSTITUTE(SUBSTITUTE(E174,"TRESEMME","Tresemme"),"HEAD &amp; SHOULDERS","Head &amp; Shoulders"),"ELVIVE","Elvive"),"FRUCTIS","Fructis")))</f>
        <v/>
      </c>
      <c r="R174" s="8">
        <f>COUNTIF($D$2:$D$10000,D174)&gt;1</f>
        <v/>
      </c>
      <c r="S174" s="8">
        <f>IF(H174=TRUE,"Disponible","No disponible")</f>
        <v/>
      </c>
      <c r="T174" s="8">
        <f>IF(AND(ISNUMBER(I174),I174&gt;0),ROUND(F174/I174,2),"Sin volumen")</f>
        <v/>
      </c>
      <c r="U174" s="8">
        <f>IF(F174&lt;5000,"Bajo",IF(F174&lt;15000,"Medio","Alto"))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TRIM(CLEAN(PROPER(D176)))</f>
        <v/>
      </c>
      <c r="Q176" s="8">
        <f>PROPER(TRIM(SUBSTITUTE(SUBSTITUTE(SUBSTITUTE(SUBSTITUTE(E176,"TRESEMME","Tresemme"),"HEAD &amp; SHOULDERS","Head &amp; Shoulders"),"ELVIVE","Elvive"),"FRUCTIS","Fructis")))</f>
        <v/>
      </c>
      <c r="R176" s="8">
        <f>COUNTIF($D$2:$D$10000,D176)&gt;1</f>
        <v/>
      </c>
      <c r="S176" s="8">
        <f>IF(H176=TRUE,"Disponible","No disponible")</f>
        <v/>
      </c>
      <c r="T176" s="8">
        <f>IF(AND(ISNUMBER(I176),I176&gt;0),ROUND(F176/I176,2),"Sin volumen")</f>
        <v/>
      </c>
      <c r="U176" s="8">
        <f>IF(F176&lt;5000,"Bajo",IF(F176&lt;15000,"Medio","Alto"))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TRIM(CLEAN(PROPER(D178)))</f>
        <v/>
      </c>
      <c r="Q178" s="8">
        <f>PROPER(TRIM(SUBSTITUTE(SUBSTITUTE(SUBSTITUTE(SUBSTITUTE(E178,"TRESEMME","Tresemme"),"HEAD &amp; SHOULDERS","Head &amp; Shoulders"),"ELVIVE","Elvive"),"FRUCTIS","Fructis")))</f>
        <v/>
      </c>
      <c r="R178" s="8">
        <f>COUNTIF($D$2:$D$10000,D178)&gt;1</f>
        <v/>
      </c>
      <c r="S178" s="8">
        <f>IF(H178=TRUE,"Disponible","No disponible")</f>
        <v/>
      </c>
      <c r="T178" s="8">
        <f>IF(AND(ISNUMBER(I178),I178&gt;0),ROUND(F178/I178,2),"Sin volumen")</f>
        <v/>
      </c>
      <c r="U178" s="8">
        <f>IF(F178&lt;5000,"Bajo",IF(F178&lt;15000,"Medio","Alto"))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TRIM(CLEAN(PROPER(D180)))</f>
        <v/>
      </c>
      <c r="Q180" s="8">
        <f>PROPER(TRIM(SUBSTITUTE(SUBSTITUTE(SUBSTITUTE(SUBSTITUTE(E180,"TRESEMME","Tresemme"),"HEAD &amp; SHOULDERS","Head &amp; Shoulders"),"ELVIVE","Elvive"),"FRUCTIS","Fructis")))</f>
        <v/>
      </c>
      <c r="R180" s="8">
        <f>COUNTIF($D$2:$D$10000,D180)&gt;1</f>
        <v/>
      </c>
      <c r="S180" s="8">
        <f>IF(H180=TRUE,"Disponible","No disponible")</f>
        <v/>
      </c>
      <c r="T180" s="8">
        <f>IF(AND(ISNUMBER(I180),I180&gt;0),ROUND(F180/I180,2),"Sin volumen")</f>
        <v/>
      </c>
      <c r="U180" s="8">
        <f>IF(F180&lt;5000,"Bajo",IF(F180&lt;15000,"Medio","Alto"))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TRIM(CLEAN(PROPER(D182)))</f>
        <v/>
      </c>
      <c r="Q182" s="8">
        <f>PROPER(TRIM(SUBSTITUTE(SUBSTITUTE(SUBSTITUTE(SUBSTITUTE(E182,"TRESEMME","Tresemme"),"HEAD &amp; SHOULDERS","Head &amp; Shoulders"),"ELVIVE","Elvive"),"FRUCTIS","Fructis")))</f>
        <v/>
      </c>
      <c r="R182" s="8">
        <f>COUNTIF($D$2:$D$10000,D182)&gt;1</f>
        <v/>
      </c>
      <c r="S182" s="8">
        <f>IF(H182=TRUE,"Disponible","No disponible")</f>
        <v/>
      </c>
      <c r="T182" s="8">
        <f>IF(AND(ISNUMBER(I182),I182&gt;0),ROUND(F182/I182,2),"Sin volumen")</f>
        <v/>
      </c>
      <c r="U182" s="8">
        <f>IF(F182&lt;5000,"Bajo",IF(F182&lt;15000,"Medio","Alto"))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TRIM(CLEAN(PROPER(D184)))</f>
        <v/>
      </c>
      <c r="Q184" s="8">
        <f>PROPER(TRIM(SUBSTITUTE(SUBSTITUTE(SUBSTITUTE(SUBSTITUTE(E184,"TRESEMME","Tresemme"),"HEAD &amp; SHOULDERS","Head &amp; Shoulders"),"ELVIVE","Elvive"),"FRUCTIS","Fructis")))</f>
        <v/>
      </c>
      <c r="R184" s="8">
        <f>COUNTIF($D$2:$D$10000,D184)&gt;1</f>
        <v/>
      </c>
      <c r="S184" s="8">
        <f>IF(H184=TRUE,"Disponible","No disponible")</f>
        <v/>
      </c>
      <c r="T184" s="8">
        <f>IF(AND(ISNUMBER(I184),I184&gt;0),ROUND(F184/I184,2),"Sin volumen")</f>
        <v/>
      </c>
      <c r="U184" s="8">
        <f>IF(F184&lt;5000,"Bajo",IF(F184&lt;15000,"Medio","Alto"))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TRIM(CLEAN(PROPER(D186)))</f>
        <v/>
      </c>
      <c r="Q186" s="8">
        <f>PROPER(TRIM(SUBSTITUTE(SUBSTITUTE(SUBSTITUTE(SUBSTITUTE(E186,"TRESEMME","Tresemme"),"HEAD &amp; SHOULDERS","Head &amp; Shoulders"),"ELVIVE","Elvive"),"FRUCTIS","Fructis")))</f>
        <v/>
      </c>
      <c r="R186" s="8">
        <f>COUNTIF($D$2:$D$10000,D186)&gt;1</f>
        <v/>
      </c>
      <c r="S186" s="8">
        <f>IF(H186=TRUE,"Disponible","No disponible")</f>
        <v/>
      </c>
      <c r="T186" s="8">
        <f>IF(AND(ISNUMBER(I186),I186&gt;0),ROUND(F186/I186,2),"Sin volumen")</f>
        <v/>
      </c>
      <c r="U186" s="8">
        <f>IF(F186&lt;5000,"Bajo",IF(F186&lt;15000,"Medio","Alto"))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TRIM(CLEAN(PROPER(D188)))</f>
        <v/>
      </c>
      <c r="Q188" s="8">
        <f>PROPER(TRIM(SUBSTITUTE(SUBSTITUTE(SUBSTITUTE(SUBSTITUTE(E188,"TRESEMME","Tresemme"),"HEAD &amp; SHOULDERS","Head &amp; Shoulders"),"ELVIVE","Elvive"),"FRUCTIS","Fructis")))</f>
        <v/>
      </c>
      <c r="R188" s="8">
        <f>COUNTIF($D$2:$D$10000,D188)&gt;1</f>
        <v/>
      </c>
      <c r="S188" s="8">
        <f>IF(H188=TRUE,"Disponible","No disponible")</f>
        <v/>
      </c>
      <c r="T188" s="8">
        <f>IF(AND(ISNUMBER(I188),I188&gt;0),ROUND(F188/I188,2),"Sin volumen")</f>
        <v/>
      </c>
      <c r="U188" s="8">
        <f>IF(F188&lt;5000,"Bajo",IF(F188&lt;15000,"Medio","Alto"))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TRIM(CLEAN(PROPER(D190)))</f>
        <v/>
      </c>
      <c r="Q190" s="8">
        <f>PROPER(TRIM(SUBSTITUTE(SUBSTITUTE(SUBSTITUTE(SUBSTITUTE(E190,"TRESEMME","Tresemme"),"HEAD &amp; SHOULDERS","Head &amp; Shoulders"),"ELVIVE","Elvive"),"FRUCTIS","Fructis")))</f>
        <v/>
      </c>
      <c r="R190" s="8">
        <f>COUNTIF($D$2:$D$10000,D190)&gt;1</f>
        <v/>
      </c>
      <c r="S190" s="8">
        <f>IF(H190=TRUE,"Disponible","No disponible")</f>
        <v/>
      </c>
      <c r="T190" s="8">
        <f>IF(AND(ISNUMBER(I190),I190&gt;0),ROUND(F190/I190,2),"Sin volumen")</f>
        <v/>
      </c>
      <c r="U190" s="8">
        <f>IF(F190&lt;5000,"Bajo",IF(F190&lt;15000,"Medio","Alto"))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TRIM(CLEAN(PROPER(D192)))</f>
        <v/>
      </c>
      <c r="Q192" s="8">
        <f>PROPER(TRIM(SUBSTITUTE(SUBSTITUTE(SUBSTITUTE(SUBSTITUTE(E192,"TRESEMME","Tresemme"),"HEAD &amp; SHOULDERS","Head &amp; Shoulders"),"ELVIVE","Elvive"),"FRUCTIS","Fructis")))</f>
        <v/>
      </c>
      <c r="R192" s="8">
        <f>COUNTIF($D$2:$D$10000,D192)&gt;1</f>
        <v/>
      </c>
      <c r="S192" s="8">
        <f>IF(H192=TRUE,"Disponible","No disponible")</f>
        <v/>
      </c>
      <c r="T192" s="8">
        <f>IF(AND(ISNUMBER(I192),I192&gt;0),ROUND(F192/I192,2),"Sin volumen")</f>
        <v/>
      </c>
      <c r="U192" s="8">
        <f>IF(F192&lt;5000,"Bajo",IF(F192&lt;15000,"Medio","Alto"))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TRIM(CLEAN(PROPER(D194)))</f>
        <v/>
      </c>
      <c r="Q194" s="8">
        <f>PROPER(TRIM(SUBSTITUTE(SUBSTITUTE(SUBSTITUTE(SUBSTITUTE(E194,"TRESEMME","Tresemme"),"HEAD &amp; SHOULDERS","Head &amp; Shoulders"),"ELVIVE","Elvive"),"FRUCTIS","Fructis")))</f>
        <v/>
      </c>
      <c r="R194" s="8">
        <f>COUNTIF($D$2:$D$10000,D194)&gt;1</f>
        <v/>
      </c>
      <c r="S194" s="8">
        <f>IF(H194=TRUE,"Disponible","No disponible")</f>
        <v/>
      </c>
      <c r="T194" s="8">
        <f>IF(AND(ISNUMBER(I194),I194&gt;0),ROUND(F194/I194,2),"Sin volumen")</f>
        <v/>
      </c>
      <c r="U194" s="8">
        <f>IF(F194&lt;5000,"Bajo",IF(F194&lt;15000,"Medio","Alto"))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TRIM(CLEAN(PROPER(D196)))</f>
        <v/>
      </c>
      <c r="Q196" s="8">
        <f>PROPER(TRIM(SUBSTITUTE(SUBSTITUTE(SUBSTITUTE(SUBSTITUTE(E196,"TRESEMME","Tresemme"),"HEAD &amp; SHOULDERS","Head &amp; Shoulders"),"ELVIVE","Elvive"),"FRUCTIS","Fructis")))</f>
        <v/>
      </c>
      <c r="R196" s="8">
        <f>COUNTIF($D$2:$D$10000,D196)&gt;1</f>
        <v/>
      </c>
      <c r="S196" s="8">
        <f>IF(H196=TRUE,"Disponible","No disponible")</f>
        <v/>
      </c>
      <c r="T196" s="8">
        <f>IF(AND(ISNUMBER(I196),I196&gt;0),ROUND(F196/I196,2),"Sin volumen")</f>
        <v/>
      </c>
      <c r="U196" s="8">
        <f>IF(F196&lt;5000,"Bajo",IF(F196&lt;15000,"Medio","Alto"))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TRIM(CLEAN(PROPER(D198)))</f>
        <v/>
      </c>
      <c r="Q198" s="8">
        <f>PROPER(TRIM(SUBSTITUTE(SUBSTITUTE(SUBSTITUTE(SUBSTITUTE(E198,"TRESEMME","Tresemme"),"HEAD &amp; SHOULDERS","Head &amp; Shoulders"),"ELVIVE","Elvive"),"FRUCTIS","Fructis")))</f>
        <v/>
      </c>
      <c r="R198" s="8">
        <f>COUNTIF($D$2:$D$10000,D198)&gt;1</f>
        <v/>
      </c>
      <c r="S198" s="8">
        <f>IF(H198=TRUE,"Disponible","No disponible")</f>
        <v/>
      </c>
      <c r="T198" s="8">
        <f>IF(AND(ISNUMBER(I198),I198&gt;0),ROUND(F198/I198,2),"Sin volumen")</f>
        <v/>
      </c>
      <c r="U198" s="8">
        <f>IF(F198&lt;5000,"Bajo",IF(F198&lt;15000,"Medio","Alto"))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TRIM(CLEAN(PROPER(D200)))</f>
        <v/>
      </c>
      <c r="Q200" s="8">
        <f>PROPER(TRIM(SUBSTITUTE(SUBSTITUTE(SUBSTITUTE(SUBSTITUTE(E200,"TRESEMME","Tresemme"),"HEAD &amp; SHOULDERS","Head &amp; Shoulders"),"ELVIVE","Elvive"),"FRUCTIS","Fructis")))</f>
        <v/>
      </c>
      <c r="R200" s="8">
        <f>COUNTIF($D$2:$D$10000,D200)&gt;1</f>
        <v/>
      </c>
      <c r="S200" s="8">
        <f>IF(H200=TRUE,"Disponible","No disponible")</f>
        <v/>
      </c>
      <c r="T200" s="8">
        <f>IF(AND(ISNUMBER(I200),I200&gt;0),ROUND(F200/I200,2),"Sin volumen")</f>
        <v/>
      </c>
      <c r="U200" s="8">
        <f>IF(F200&lt;5000,"Bajo",IF(F200&lt;15000,"Medio","Alto"))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TRIM(CLEAN(PROPER(D202)))</f>
        <v/>
      </c>
      <c r="Q202" s="8">
        <f>PROPER(TRIM(SUBSTITUTE(SUBSTITUTE(SUBSTITUTE(SUBSTITUTE(E202,"TRESEMME","Tresemme"),"HEAD &amp; SHOULDERS","Head &amp; Shoulders"),"ELVIVE","Elvive"),"FRUCTIS","Fructis")))</f>
        <v/>
      </c>
      <c r="R202" s="8">
        <f>COUNTIF($D$2:$D$10000,D202)&gt;1</f>
        <v/>
      </c>
      <c r="S202" s="8">
        <f>IF(H202=TRUE,"Disponible","No disponible")</f>
        <v/>
      </c>
      <c r="T202" s="8">
        <f>IF(AND(ISNUMBER(I202),I202&gt;0),ROUND(F202/I202,2),"Sin volumen")</f>
        <v/>
      </c>
      <c r="U202" s="8">
        <f>IF(F202&lt;5000,"Bajo",IF(F202&lt;15000,"Medio","Alto"))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TRIM(CLEAN(PROPER(D204)))</f>
        <v/>
      </c>
      <c r="Q204" s="8">
        <f>PROPER(TRIM(SUBSTITUTE(SUBSTITUTE(SUBSTITUTE(SUBSTITUTE(E204,"TRESEMME","Tresemme"),"HEAD &amp; SHOULDERS","Head &amp; Shoulders"),"ELVIVE","Elvive"),"FRUCTIS","Fructis")))</f>
        <v/>
      </c>
      <c r="R204" s="8">
        <f>COUNTIF($D$2:$D$10000,D204)&gt;1</f>
        <v/>
      </c>
      <c r="S204" s="8">
        <f>IF(H204=TRUE,"Disponible","No disponible")</f>
        <v/>
      </c>
      <c r="T204" s="8">
        <f>IF(AND(ISNUMBER(I204),I204&gt;0),ROUND(F204/I204,2),"Sin volumen")</f>
        <v/>
      </c>
      <c r="U204" s="8">
        <f>IF(F204&lt;5000,"Bajo",IF(F204&lt;15000,"Medio","Alto"))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TRIM(CLEAN(PROPER(D206)))</f>
        <v/>
      </c>
      <c r="Q206" s="8">
        <f>PROPER(TRIM(SUBSTITUTE(SUBSTITUTE(SUBSTITUTE(SUBSTITUTE(E206,"TRESEMME","Tresemme"),"HEAD &amp; SHOULDERS","Head &amp; Shoulders"),"ELVIVE","Elvive"),"FRUCTIS","Fructis")))</f>
        <v/>
      </c>
      <c r="R206" s="8">
        <f>COUNTIF($D$2:$D$10000,D206)&gt;1</f>
        <v/>
      </c>
      <c r="S206" s="8">
        <f>IF(H206=TRUE,"Disponible","No disponible")</f>
        <v/>
      </c>
      <c r="T206" s="8">
        <f>IF(AND(ISNUMBER(I206),I206&gt;0),ROUND(F206/I206,2),"Sin volumen")</f>
        <v/>
      </c>
      <c r="U206" s="8">
        <f>IF(F206&lt;5000,"Bajo",IF(F206&lt;15000,"Medio","Alto"))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TRIM(CLEAN(PROPER(D208)))</f>
        <v/>
      </c>
      <c r="Q208" s="8">
        <f>PROPER(TRIM(SUBSTITUTE(SUBSTITUTE(SUBSTITUTE(SUBSTITUTE(E208,"TRESEMME","Tresemme"),"HEAD &amp; SHOULDERS","Head &amp; Shoulders"),"ELVIVE","Elvive"),"FRUCTIS","Fructis")))</f>
        <v/>
      </c>
      <c r="R208" s="8">
        <f>COUNTIF($D$2:$D$10000,D208)&gt;1</f>
        <v/>
      </c>
      <c r="S208" s="8">
        <f>IF(H208=TRUE,"Disponible","No disponible")</f>
        <v/>
      </c>
      <c r="T208" s="8">
        <f>IF(AND(ISNUMBER(I208),I208&gt;0),ROUND(F208/I208,2),"Sin volumen")</f>
        <v/>
      </c>
      <c r="U208" s="8">
        <f>IF(F208&lt;5000,"Bajo",IF(F208&lt;15000,"Medio","Alto"))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TRIM(CLEAN(PROPER(D210)))</f>
        <v/>
      </c>
      <c r="Q210" s="8">
        <f>PROPER(TRIM(SUBSTITUTE(SUBSTITUTE(SUBSTITUTE(SUBSTITUTE(E210,"TRESEMME","Tresemme"),"HEAD &amp; SHOULDERS","Head &amp; Shoulders"),"ELVIVE","Elvive"),"FRUCTIS","Fructis")))</f>
        <v/>
      </c>
      <c r="R210" s="8">
        <f>COUNTIF($D$2:$D$10000,D210)&gt;1</f>
        <v/>
      </c>
      <c r="S210" s="8">
        <f>IF(H210=TRUE,"Disponible","No disponible")</f>
        <v/>
      </c>
      <c r="T210" s="8">
        <f>IF(AND(ISNUMBER(I210),I210&gt;0),ROUND(F210/I210,2),"Sin volumen")</f>
        <v/>
      </c>
      <c r="U210" s="8">
        <f>IF(F210&lt;5000,"Bajo",IF(F210&lt;15000,"Medio","Alto"))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TRIM(CLEAN(PROPER(D212)))</f>
        <v/>
      </c>
      <c r="Q212" s="8">
        <f>PROPER(TRIM(SUBSTITUTE(SUBSTITUTE(SUBSTITUTE(SUBSTITUTE(E212,"TRESEMME","Tresemme"),"HEAD &amp; SHOULDERS","Head &amp; Shoulders"),"ELVIVE","Elvive"),"FRUCTIS","Fructis")))</f>
        <v/>
      </c>
      <c r="R212" s="8">
        <f>COUNTIF($D$2:$D$10000,D212)&gt;1</f>
        <v/>
      </c>
      <c r="S212" s="8">
        <f>IF(H212=TRUE,"Disponible","No disponible")</f>
        <v/>
      </c>
      <c r="T212" s="8">
        <f>IF(AND(ISNUMBER(I212),I212&gt;0),ROUND(F212/I212,2),"Sin volumen")</f>
        <v/>
      </c>
      <c r="U212" s="8">
        <f>IF(F212&lt;5000,"Bajo",IF(F212&lt;15000,"Medio","Alto"))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TRIM(CLEAN(PROPER(D214)))</f>
        <v/>
      </c>
      <c r="Q214" s="8">
        <f>PROPER(TRIM(SUBSTITUTE(SUBSTITUTE(SUBSTITUTE(SUBSTITUTE(E214,"TRESEMME","Tresemme"),"HEAD &amp; SHOULDERS","Head &amp; Shoulders"),"ELVIVE","Elvive"),"FRUCTIS","Fructis")))</f>
        <v/>
      </c>
      <c r="R214" s="8">
        <f>COUNTIF($D$2:$D$10000,D214)&gt;1</f>
        <v/>
      </c>
      <c r="S214" s="8">
        <f>IF(H214=TRUE,"Disponible","No disponible")</f>
        <v/>
      </c>
      <c r="T214" s="8">
        <f>IF(AND(ISNUMBER(I214),I214&gt;0),ROUND(F214/I214,2),"Sin volumen")</f>
        <v/>
      </c>
      <c r="U214" s="8">
        <f>IF(F214&lt;5000,"Bajo",IF(F214&lt;15000,"Medio","Alto"))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TRIM(CLEAN(PROPER(D216)))</f>
        <v/>
      </c>
      <c r="Q216" s="8">
        <f>PROPER(TRIM(SUBSTITUTE(SUBSTITUTE(SUBSTITUTE(SUBSTITUTE(E216,"TRESEMME","Tresemme"),"HEAD &amp; SHOULDERS","Head &amp; Shoulders"),"ELVIVE","Elvive"),"FRUCTIS","Fructis")))</f>
        <v/>
      </c>
      <c r="R216" s="8">
        <f>COUNTIF($D$2:$D$10000,D216)&gt;1</f>
        <v/>
      </c>
      <c r="S216" s="8">
        <f>IF(H216=TRUE,"Disponible","No disponible")</f>
        <v/>
      </c>
      <c r="T216" s="8">
        <f>IF(AND(ISNUMBER(I216),I216&gt;0),ROUND(F216/I216,2),"Sin volumen")</f>
        <v/>
      </c>
      <c r="U216" s="8">
        <f>IF(F216&lt;5000,"Bajo",IF(F216&lt;15000,"Medio","Alto"))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TRIM(CLEAN(PROPER(D218)))</f>
        <v/>
      </c>
      <c r="Q218" s="8">
        <f>PROPER(TRIM(SUBSTITUTE(SUBSTITUTE(SUBSTITUTE(SUBSTITUTE(E218,"TRESEMME","Tresemme"),"HEAD &amp; SHOULDERS","Head &amp; Shoulders"),"ELVIVE","Elvive"),"FRUCTIS","Fructis")))</f>
        <v/>
      </c>
      <c r="R218" s="8">
        <f>COUNTIF($D$2:$D$10000,D218)&gt;1</f>
        <v/>
      </c>
      <c r="S218" s="8">
        <f>IF(H218=TRUE,"Disponible","No disponible")</f>
        <v/>
      </c>
      <c r="T218" s="8">
        <f>IF(AND(ISNUMBER(I218),I218&gt;0),ROUND(F218/I218,2),"Sin volumen")</f>
        <v/>
      </c>
      <c r="U218" s="8">
        <f>IF(F218&lt;5000,"Bajo",IF(F218&lt;15000,"Medio","Alto"))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TRIM(CLEAN(PROPER(D220)))</f>
        <v/>
      </c>
      <c r="Q220" s="8">
        <f>PROPER(TRIM(SUBSTITUTE(SUBSTITUTE(SUBSTITUTE(SUBSTITUTE(E220,"TRESEMME","Tresemme"),"HEAD &amp; SHOULDERS","Head &amp; Shoulders"),"ELVIVE","Elvive"),"FRUCTIS","Fructis")))</f>
        <v/>
      </c>
      <c r="R220" s="8">
        <f>COUNTIF($D$2:$D$10000,D220)&gt;1</f>
        <v/>
      </c>
      <c r="S220" s="8">
        <f>IF(H220=TRUE,"Disponible","No disponible")</f>
        <v/>
      </c>
      <c r="T220" s="8">
        <f>IF(AND(ISNUMBER(I220),I220&gt;0),ROUND(F220/I220,2),"Sin volumen")</f>
        <v/>
      </c>
      <c r="U220" s="8">
        <f>IF(F220&lt;5000,"Bajo",IF(F220&lt;15000,"Medio","Alto"))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TRIM(CLEAN(PROPER(D222)))</f>
        <v/>
      </c>
      <c r="Q222" s="8">
        <f>PROPER(TRIM(SUBSTITUTE(SUBSTITUTE(SUBSTITUTE(SUBSTITUTE(E222,"TRESEMME","Tresemme"),"HEAD &amp; SHOULDERS","Head &amp; Shoulders"),"ELVIVE","Elvive"),"FRUCTIS","Fructis")))</f>
        <v/>
      </c>
      <c r="R222" s="8">
        <f>COUNTIF($D$2:$D$10000,D222)&gt;1</f>
        <v/>
      </c>
      <c r="S222" s="8">
        <f>IF(H222=TRUE,"Disponible","No disponible")</f>
        <v/>
      </c>
      <c r="T222" s="8">
        <f>IF(AND(ISNUMBER(I222),I222&gt;0),ROUND(F222/I222,2),"Sin volumen")</f>
        <v/>
      </c>
      <c r="U222" s="8">
        <f>IF(F222&lt;5000,"Bajo",IF(F222&lt;15000,"Medio","Alto"))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TRIM(CLEAN(PROPER(D224)))</f>
        <v/>
      </c>
      <c r="Q224" s="8">
        <f>PROPER(TRIM(SUBSTITUTE(SUBSTITUTE(SUBSTITUTE(SUBSTITUTE(E224,"TRESEMME","Tresemme"),"HEAD &amp; SHOULDERS","Head &amp; Shoulders"),"ELVIVE","Elvive"),"FRUCTIS","Fructis")))</f>
        <v/>
      </c>
      <c r="R224" s="8">
        <f>COUNTIF($D$2:$D$10000,D224)&gt;1</f>
        <v/>
      </c>
      <c r="S224" s="8">
        <f>IF(H224=TRUE,"Disponible","No disponible")</f>
        <v/>
      </c>
      <c r="T224" s="8">
        <f>IF(AND(ISNUMBER(I224),I224&gt;0),ROUND(F224/I224,2),"Sin volumen")</f>
        <v/>
      </c>
      <c r="U224" s="8">
        <f>IF(F224&lt;5000,"Bajo",IF(F224&lt;15000,"Medio","Alto"))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TRIM(CLEAN(PROPER(D226)))</f>
        <v/>
      </c>
      <c r="Q226" s="8">
        <f>PROPER(TRIM(SUBSTITUTE(SUBSTITUTE(SUBSTITUTE(SUBSTITUTE(E226,"TRESEMME","Tresemme"),"HEAD &amp; SHOULDERS","Head &amp; Shoulders"),"ELVIVE","Elvive"),"FRUCTIS","Fructis")))</f>
        <v/>
      </c>
      <c r="R226" s="8">
        <f>COUNTIF($D$2:$D$10000,D226)&gt;1</f>
        <v/>
      </c>
      <c r="S226" s="8">
        <f>IF(H226=TRUE,"Disponible","No disponible")</f>
        <v/>
      </c>
      <c r="T226" s="8">
        <f>IF(AND(ISNUMBER(I226),I226&gt;0),ROUND(F226/I226,2),"Sin volumen")</f>
        <v/>
      </c>
      <c r="U226" s="8">
        <f>IF(F226&lt;5000,"Bajo",IF(F226&lt;15000,"Medio","Alto"))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TRIM(CLEAN(PROPER(D228)))</f>
        <v/>
      </c>
      <c r="Q228" s="8">
        <f>PROPER(TRIM(SUBSTITUTE(SUBSTITUTE(SUBSTITUTE(SUBSTITUTE(E228,"TRESEMME","Tresemme"),"HEAD &amp; SHOULDERS","Head &amp; Shoulders"),"ELVIVE","Elvive"),"FRUCTIS","Fructis")))</f>
        <v/>
      </c>
      <c r="R228" s="8">
        <f>COUNTIF($D$2:$D$10000,D228)&gt;1</f>
        <v/>
      </c>
      <c r="S228" s="8">
        <f>IF(H228=TRUE,"Disponible","No disponible")</f>
        <v/>
      </c>
      <c r="T228" s="8">
        <f>IF(AND(ISNUMBER(I228),I228&gt;0),ROUND(F228/I228,2),"Sin volumen")</f>
        <v/>
      </c>
      <c r="U228" s="8">
        <f>IF(F228&lt;5000,"Bajo",IF(F228&lt;15000,"Medio","Alto"))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TRIM(CLEAN(PROPER(D230)))</f>
        <v/>
      </c>
      <c r="Q230" s="8">
        <f>PROPER(TRIM(SUBSTITUTE(SUBSTITUTE(SUBSTITUTE(SUBSTITUTE(E230,"TRESEMME","Tresemme"),"HEAD &amp; SHOULDERS","Head &amp; Shoulders"),"ELVIVE","Elvive"),"FRUCTIS","Fructis")))</f>
        <v/>
      </c>
      <c r="R230" s="8">
        <f>COUNTIF($D$2:$D$10000,D230)&gt;1</f>
        <v/>
      </c>
      <c r="S230" s="8">
        <f>IF(H230=TRUE,"Disponible","No disponible")</f>
        <v/>
      </c>
      <c r="T230" s="8">
        <f>IF(AND(ISNUMBER(I230),I230&gt;0),ROUND(F230/I230,2),"Sin volumen")</f>
        <v/>
      </c>
      <c r="U230" s="8">
        <f>IF(F230&lt;5000,"Bajo",IF(F230&lt;15000,"Medio","Alto"))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TRIM(CLEAN(PROPER(D232)))</f>
        <v/>
      </c>
      <c r="Q232" s="8">
        <f>PROPER(TRIM(SUBSTITUTE(SUBSTITUTE(SUBSTITUTE(SUBSTITUTE(E232,"TRESEMME","Tresemme"),"HEAD &amp; SHOULDERS","Head &amp; Shoulders"),"ELVIVE","Elvive"),"FRUCTIS","Fructis")))</f>
        <v/>
      </c>
      <c r="R232" s="8">
        <f>COUNTIF($D$2:$D$10000,D232)&gt;1</f>
        <v/>
      </c>
      <c r="S232" s="8">
        <f>IF(H232=TRUE,"Disponible","No disponible")</f>
        <v/>
      </c>
      <c r="T232" s="8">
        <f>IF(AND(ISNUMBER(I232),I232&gt;0),ROUND(F232/I232,2),"Sin volumen")</f>
        <v/>
      </c>
      <c r="U232" s="8">
        <f>IF(F232&lt;5000,"Bajo",IF(F232&lt;15000,"Medio","Alto"))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TRIM(CLEAN(PROPER(D234)))</f>
        <v/>
      </c>
      <c r="Q234" s="8">
        <f>PROPER(TRIM(SUBSTITUTE(SUBSTITUTE(SUBSTITUTE(SUBSTITUTE(E234,"TRESEMME","Tresemme"),"HEAD &amp; SHOULDERS","Head &amp; Shoulders"),"ELVIVE","Elvive"),"FRUCTIS","Fructis")))</f>
        <v/>
      </c>
      <c r="R234" s="8">
        <f>COUNTIF($D$2:$D$10000,D234)&gt;1</f>
        <v/>
      </c>
      <c r="S234" s="8">
        <f>IF(H234=TRUE,"Disponible","No disponible")</f>
        <v/>
      </c>
      <c r="T234" s="8">
        <f>IF(AND(ISNUMBER(I234),I234&gt;0),ROUND(F234/I234,2),"Sin volumen")</f>
        <v/>
      </c>
      <c r="U234" s="8">
        <f>IF(F234&lt;5000,"Bajo",IF(F234&lt;15000,"Medio","Alto"))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TRIM(CLEAN(PROPER(D236)))</f>
        <v/>
      </c>
      <c r="Q236" s="8">
        <f>PROPER(TRIM(SUBSTITUTE(SUBSTITUTE(SUBSTITUTE(SUBSTITUTE(E236,"TRESEMME","Tresemme"),"HEAD &amp; SHOULDERS","Head &amp; Shoulders"),"ELVIVE","Elvive"),"FRUCTIS","Fructis")))</f>
        <v/>
      </c>
      <c r="R236" s="8">
        <f>COUNTIF($D$2:$D$10000,D236)&gt;1</f>
        <v/>
      </c>
      <c r="S236" s="8">
        <f>IF(H236=TRUE,"Disponible","No disponible")</f>
        <v/>
      </c>
      <c r="T236" s="8">
        <f>IF(AND(ISNUMBER(I236),I236&gt;0),ROUND(F236/I236,2),"Sin volumen")</f>
        <v/>
      </c>
      <c r="U236" s="8">
        <f>IF(F236&lt;5000,"Bajo",IF(F236&lt;15000,"Medio","Alto"))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TRIM(CLEAN(PROPER(D238)))</f>
        <v/>
      </c>
      <c r="Q238" s="8">
        <f>PROPER(TRIM(SUBSTITUTE(SUBSTITUTE(SUBSTITUTE(SUBSTITUTE(E238,"TRESEMME","Tresemme"),"HEAD &amp; SHOULDERS","Head &amp; Shoulders"),"ELVIVE","Elvive"),"FRUCTIS","Fructis")))</f>
        <v/>
      </c>
      <c r="R238" s="8">
        <f>COUNTIF($D$2:$D$10000,D238)&gt;1</f>
        <v/>
      </c>
      <c r="S238" s="8">
        <f>IF(H238=TRUE,"Disponible","No disponible")</f>
        <v/>
      </c>
      <c r="T238" s="8">
        <f>IF(AND(ISNUMBER(I238),I238&gt;0),ROUND(F238/I238,2),"Sin volumen")</f>
        <v/>
      </c>
      <c r="U238" s="8">
        <f>IF(F238&lt;5000,"Bajo",IF(F238&lt;15000,"Medio","Alto"))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TRIM(CLEAN(PROPER(D240)))</f>
        <v/>
      </c>
      <c r="Q240" s="8">
        <f>PROPER(TRIM(SUBSTITUTE(SUBSTITUTE(SUBSTITUTE(SUBSTITUTE(E240,"TRESEMME","Tresemme"),"HEAD &amp; SHOULDERS","Head &amp; Shoulders"),"ELVIVE","Elvive"),"FRUCTIS","Fructis")))</f>
        <v/>
      </c>
      <c r="R240" s="8">
        <f>COUNTIF($D$2:$D$10000,D240)&gt;1</f>
        <v/>
      </c>
      <c r="S240" s="8">
        <f>IF(H240=TRUE,"Disponible","No disponible")</f>
        <v/>
      </c>
      <c r="T240" s="8">
        <f>IF(AND(ISNUMBER(I240),I240&gt;0),ROUND(F240/I240,2),"Sin volumen")</f>
        <v/>
      </c>
      <c r="U240" s="8">
        <f>IF(F240&lt;5000,"Bajo",IF(F240&lt;15000,"Medio","Alto"))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TRIM(CLEAN(PROPER(D242)))</f>
        <v/>
      </c>
      <c r="Q242" s="8">
        <f>PROPER(TRIM(SUBSTITUTE(SUBSTITUTE(SUBSTITUTE(SUBSTITUTE(E242,"TRESEMME","Tresemme"),"HEAD &amp; SHOULDERS","Head &amp; Shoulders"),"ELVIVE","Elvive"),"FRUCTIS","Fructis")))</f>
        <v/>
      </c>
      <c r="R242" s="8">
        <f>COUNTIF($D$2:$D$10000,D242)&gt;1</f>
        <v/>
      </c>
      <c r="S242" s="8">
        <f>IF(H242=TRUE,"Disponible","No disponible")</f>
        <v/>
      </c>
      <c r="T242" s="8">
        <f>IF(AND(ISNUMBER(I242),I242&gt;0),ROUND(F242/I242,2),"Sin volumen")</f>
        <v/>
      </c>
      <c r="U242" s="8">
        <f>IF(F242&lt;5000,"Bajo",IF(F242&lt;15000,"Medio","Alto"))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TRIM(CLEAN(PROPER(D244)))</f>
        <v/>
      </c>
      <c r="Q244" s="8">
        <f>PROPER(TRIM(SUBSTITUTE(SUBSTITUTE(SUBSTITUTE(SUBSTITUTE(E244,"TRESEMME","Tresemme"),"HEAD &amp; SHOULDERS","Head &amp; Shoulders"),"ELVIVE","Elvive"),"FRUCTIS","Fructis")))</f>
        <v/>
      </c>
      <c r="R244" s="8">
        <f>COUNTIF($D$2:$D$10000,D244)&gt;1</f>
        <v/>
      </c>
      <c r="S244" s="8">
        <f>IF(H244=TRUE,"Disponible","No disponible")</f>
        <v/>
      </c>
      <c r="T244" s="8">
        <f>IF(AND(ISNUMBER(I244),I244&gt;0),ROUND(F244/I244,2),"Sin volumen")</f>
        <v/>
      </c>
      <c r="U244" s="8">
        <f>IF(F244&lt;5000,"Bajo",IF(F244&lt;15000,"Medio","Alto"))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TRIM(CLEAN(PROPER(D246)))</f>
        <v/>
      </c>
      <c r="Q246" s="8">
        <f>PROPER(TRIM(SUBSTITUTE(SUBSTITUTE(SUBSTITUTE(SUBSTITUTE(E246,"TRESEMME","Tresemme"),"HEAD &amp; SHOULDERS","Head &amp; Shoulders"),"ELVIVE","Elvive"),"FRUCTIS","Fructis")))</f>
        <v/>
      </c>
      <c r="R246" s="8">
        <f>COUNTIF($D$2:$D$10000,D246)&gt;1</f>
        <v/>
      </c>
      <c r="S246" s="8">
        <f>IF(H246=TRUE,"Disponible","No disponible")</f>
        <v/>
      </c>
      <c r="T246" s="8">
        <f>IF(AND(ISNUMBER(I246),I246&gt;0),ROUND(F246/I246,2),"Sin volumen")</f>
        <v/>
      </c>
      <c r="U246" s="8">
        <f>IF(F246&lt;5000,"Bajo",IF(F246&lt;15000,"Medio","Alto"))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TRIM(CLEAN(PROPER(D248)))</f>
        <v/>
      </c>
      <c r="Q248" s="8">
        <f>PROPER(TRIM(SUBSTITUTE(SUBSTITUTE(SUBSTITUTE(SUBSTITUTE(E248,"TRESEMME","Tresemme"),"HEAD &amp; SHOULDERS","Head &amp; Shoulders"),"ELVIVE","Elvive"),"FRUCTIS","Fructis")))</f>
        <v/>
      </c>
      <c r="R248" s="8">
        <f>COUNTIF($D$2:$D$10000,D248)&gt;1</f>
        <v/>
      </c>
      <c r="S248" s="8">
        <f>IF(H248=TRUE,"Disponible","No disponible")</f>
        <v/>
      </c>
      <c r="T248" s="8">
        <f>IF(AND(ISNUMBER(I248),I248&gt;0),ROUND(F248/I248,2),"Sin volumen")</f>
        <v/>
      </c>
      <c r="U248" s="8">
        <f>IF(F248&lt;5000,"Bajo",IF(F248&lt;15000,"Medio","Alto"))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TRIM(CLEAN(PROPER(D250)))</f>
        <v/>
      </c>
      <c r="Q250" s="8">
        <f>PROPER(TRIM(SUBSTITUTE(SUBSTITUTE(SUBSTITUTE(SUBSTITUTE(E250,"TRESEMME","Tresemme"),"HEAD &amp; SHOULDERS","Head &amp; Shoulders"),"ELVIVE","Elvive"),"FRUCTIS","Fructis")))</f>
        <v/>
      </c>
      <c r="R250" s="8">
        <f>COUNTIF($D$2:$D$10000,D250)&gt;1</f>
        <v/>
      </c>
      <c r="S250" s="8">
        <f>IF(H250=TRUE,"Disponible","No disponible")</f>
        <v/>
      </c>
      <c r="T250" s="8">
        <f>IF(AND(ISNUMBER(I250),I250&gt;0),ROUND(F250/I250,2),"Sin volumen")</f>
        <v/>
      </c>
      <c r="U250" s="8">
        <f>IF(F250&lt;5000,"Bajo",IF(F250&lt;15000,"Medio","Alto"))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TRIM(CLEAN(PROPER(D252)))</f>
        <v/>
      </c>
      <c r="Q252" s="8">
        <f>PROPER(TRIM(SUBSTITUTE(SUBSTITUTE(SUBSTITUTE(SUBSTITUTE(E252,"TRESEMME","Tresemme"),"HEAD &amp; SHOULDERS","Head &amp; Shoulders"),"ELVIVE","Elvive"),"FRUCTIS","Fructis")))</f>
        <v/>
      </c>
      <c r="R252" s="8">
        <f>COUNTIF($D$2:$D$10000,D252)&gt;1</f>
        <v/>
      </c>
      <c r="S252" s="8">
        <f>IF(H252=TRUE,"Disponible","No disponible")</f>
        <v/>
      </c>
      <c r="T252" s="8">
        <f>IF(AND(ISNUMBER(I252),I252&gt;0),ROUND(F252/I252,2),"Sin volumen")</f>
        <v/>
      </c>
      <c r="U252" s="8">
        <f>IF(F252&lt;5000,"Bajo",IF(F252&lt;15000,"Medio","Alto"))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TRIM(CLEAN(PROPER(D254)))</f>
        <v/>
      </c>
      <c r="Q254" s="8">
        <f>PROPER(TRIM(SUBSTITUTE(SUBSTITUTE(SUBSTITUTE(SUBSTITUTE(E254,"TRESEMME","Tresemme"),"HEAD &amp; SHOULDERS","Head &amp; Shoulders"),"ELVIVE","Elvive"),"FRUCTIS","Fructis")))</f>
        <v/>
      </c>
      <c r="R254" s="8">
        <f>COUNTIF($D$2:$D$10000,D254)&gt;1</f>
        <v/>
      </c>
      <c r="S254" s="8">
        <f>IF(H254=TRUE,"Disponible","No disponible")</f>
        <v/>
      </c>
      <c r="T254" s="8">
        <f>IF(AND(ISNUMBER(I254),I254&gt;0),ROUND(F254/I254,2),"Sin volumen")</f>
        <v/>
      </c>
      <c r="U254" s="8">
        <f>IF(F254&lt;5000,"Bajo",IF(F254&lt;15000,"Medio","Alto"))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TRIM(CLEAN(PROPER(D256)))</f>
        <v/>
      </c>
      <c r="Q256" s="8">
        <f>PROPER(TRIM(SUBSTITUTE(SUBSTITUTE(SUBSTITUTE(SUBSTITUTE(E256,"TRESEMME","Tresemme"),"HEAD &amp; SHOULDERS","Head &amp; Shoulders"),"ELVIVE","Elvive"),"FRUCTIS","Fructis")))</f>
        <v/>
      </c>
      <c r="R256" s="8">
        <f>COUNTIF($D$2:$D$10000,D256)&gt;1</f>
        <v/>
      </c>
      <c r="S256" s="8">
        <f>IF(H256=TRUE,"Disponible","No disponible")</f>
        <v/>
      </c>
      <c r="T256" s="8">
        <f>IF(AND(ISNUMBER(I256),I256&gt;0),ROUND(F256/I256,2),"Sin volumen")</f>
        <v/>
      </c>
      <c r="U256" s="8">
        <f>IF(F256&lt;5000,"Bajo",IF(F256&lt;15000,"Medio","Alto"))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TRIM(CLEAN(PROPER(D258)))</f>
        <v/>
      </c>
      <c r="Q258" s="8">
        <f>PROPER(TRIM(SUBSTITUTE(SUBSTITUTE(SUBSTITUTE(SUBSTITUTE(E258,"TRESEMME","Tresemme"),"HEAD &amp; SHOULDERS","Head &amp; Shoulders"),"ELVIVE","Elvive"),"FRUCTIS","Fructis")))</f>
        <v/>
      </c>
      <c r="R258" s="8">
        <f>COUNTIF($D$2:$D$10000,D258)&gt;1</f>
        <v/>
      </c>
      <c r="S258" s="8">
        <f>IF(H258=TRUE,"Disponible","No disponible")</f>
        <v/>
      </c>
      <c r="T258" s="8">
        <f>IF(AND(ISNUMBER(I258),I258&gt;0),ROUND(F258/I258,2),"Sin volumen")</f>
        <v/>
      </c>
      <c r="U258" s="8">
        <f>IF(F258&lt;5000,"Bajo",IF(F258&lt;15000,"Medio","Alto"))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TRIM(CLEAN(PROPER(D260)))</f>
        <v/>
      </c>
      <c r="Q260" s="8">
        <f>PROPER(TRIM(SUBSTITUTE(SUBSTITUTE(SUBSTITUTE(SUBSTITUTE(E260,"TRESEMME","Tresemme"),"HEAD &amp; SHOULDERS","Head &amp; Shoulders"),"ELVIVE","Elvive"),"FRUCTIS","Fructis")))</f>
        <v/>
      </c>
      <c r="R260" s="8">
        <f>COUNTIF($D$2:$D$10000,D260)&gt;1</f>
        <v/>
      </c>
      <c r="S260" s="8">
        <f>IF(H260=TRUE,"Disponible","No disponible")</f>
        <v/>
      </c>
      <c r="T260" s="8">
        <f>IF(AND(ISNUMBER(I260),I260&gt;0),ROUND(F260/I260,2),"Sin volumen")</f>
        <v/>
      </c>
      <c r="U260" s="8">
        <f>IF(F260&lt;5000,"Bajo",IF(F260&lt;15000,"Medio","Alto"))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TRIM(CLEAN(PROPER(D262)))</f>
        <v/>
      </c>
      <c r="Q262" s="8">
        <f>PROPER(TRIM(SUBSTITUTE(SUBSTITUTE(SUBSTITUTE(SUBSTITUTE(E262,"TRESEMME","Tresemme"),"HEAD &amp; SHOULDERS","Head &amp; Shoulders"),"ELVIVE","Elvive"),"FRUCTIS","Fructis")))</f>
        <v/>
      </c>
      <c r="R262" s="8">
        <f>COUNTIF($D$2:$D$10000,D262)&gt;1</f>
        <v/>
      </c>
      <c r="S262" s="8">
        <f>IF(H262=TRUE,"Disponible","No disponible")</f>
        <v/>
      </c>
      <c r="T262" s="8">
        <f>IF(AND(ISNUMBER(I262),I262&gt;0),ROUND(F262/I262,2),"Sin volumen")</f>
        <v/>
      </c>
      <c r="U262" s="8">
        <f>IF(F262&lt;5000,"Bajo",IF(F262&lt;15000,"Medio","Alto"))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TRIM(CLEAN(PROPER(D264)))</f>
        <v/>
      </c>
      <c r="Q264" s="8">
        <f>PROPER(TRIM(SUBSTITUTE(SUBSTITUTE(SUBSTITUTE(SUBSTITUTE(E264,"TRESEMME","Tresemme"),"HEAD &amp; SHOULDERS","Head &amp; Shoulders"),"ELVIVE","Elvive"),"FRUCTIS","Fructis")))</f>
        <v/>
      </c>
      <c r="R264" s="8">
        <f>COUNTIF($D$2:$D$10000,D264)&gt;1</f>
        <v/>
      </c>
      <c r="S264" s="8">
        <f>IF(H264=TRUE,"Disponible","No disponible")</f>
        <v/>
      </c>
      <c r="T264" s="8">
        <f>IF(AND(ISNUMBER(I264),I264&gt;0),ROUND(F264/I264,2),"Sin volumen")</f>
        <v/>
      </c>
      <c r="U264" s="8">
        <f>IF(F264&lt;5000,"Bajo",IF(F264&lt;15000,"Medio","Alto"))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TRIM(CLEAN(PROPER(D266)))</f>
        <v/>
      </c>
      <c r="Q266" s="8">
        <f>PROPER(TRIM(SUBSTITUTE(SUBSTITUTE(SUBSTITUTE(SUBSTITUTE(E266,"TRESEMME","Tresemme"),"HEAD &amp; SHOULDERS","Head &amp; Shoulders"),"ELVIVE","Elvive"),"FRUCTIS","Fructis")))</f>
        <v/>
      </c>
      <c r="R266" s="8">
        <f>COUNTIF($D$2:$D$10000,D266)&gt;1</f>
        <v/>
      </c>
      <c r="S266" s="8">
        <f>IF(H266=TRUE,"Disponible","No disponible")</f>
        <v/>
      </c>
      <c r="T266" s="8">
        <f>IF(AND(ISNUMBER(I266),I266&gt;0),ROUND(F266/I266,2),"Sin volumen")</f>
        <v/>
      </c>
      <c r="U266" s="8">
        <f>IF(F266&lt;5000,"Bajo",IF(F266&lt;15000,"Medio","Alto"))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TRIM(CLEAN(PROPER(D268)))</f>
        <v/>
      </c>
      <c r="Q268" s="8">
        <f>PROPER(TRIM(SUBSTITUTE(SUBSTITUTE(SUBSTITUTE(SUBSTITUTE(E268,"TRESEMME","Tresemme"),"HEAD &amp; SHOULDERS","Head &amp; Shoulders"),"ELVIVE","Elvive"),"FRUCTIS","Fructis")))</f>
        <v/>
      </c>
      <c r="R268" s="8">
        <f>COUNTIF($D$2:$D$10000,D268)&gt;1</f>
        <v/>
      </c>
      <c r="S268" s="8">
        <f>IF(H268=TRUE,"Disponible","No disponible")</f>
        <v/>
      </c>
      <c r="T268" s="8">
        <f>IF(AND(ISNUMBER(I268),I268&gt;0),ROUND(F268/I268,2),"Sin volumen")</f>
        <v/>
      </c>
      <c r="U268" s="8">
        <f>IF(F268&lt;5000,"Bajo",IF(F268&lt;15000,"Medio","Alto"))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TRIM(CLEAN(PROPER(D270)))</f>
        <v/>
      </c>
      <c r="Q270" s="8">
        <f>PROPER(TRIM(SUBSTITUTE(SUBSTITUTE(SUBSTITUTE(SUBSTITUTE(E270,"TRESEMME","Tresemme"),"HEAD &amp; SHOULDERS","Head &amp; Shoulders"),"ELVIVE","Elvive"),"FRUCTIS","Fructis")))</f>
        <v/>
      </c>
      <c r="R270" s="8">
        <f>COUNTIF($D$2:$D$10000,D270)&gt;1</f>
        <v/>
      </c>
      <c r="S270" s="8">
        <f>IF(H270=TRUE,"Disponible","No disponible")</f>
        <v/>
      </c>
      <c r="T270" s="8">
        <f>IF(AND(ISNUMBER(I270),I270&gt;0),ROUND(F270/I270,2),"Sin volumen")</f>
        <v/>
      </c>
      <c r="U270" s="8">
        <f>IF(F270&lt;5000,"Bajo",IF(F270&lt;15000,"Medio","Alto"))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TRIM(CLEAN(PROPER(D272)))</f>
        <v/>
      </c>
      <c r="Q272" s="8">
        <f>PROPER(TRIM(SUBSTITUTE(SUBSTITUTE(SUBSTITUTE(SUBSTITUTE(E272,"TRESEMME","Tresemme"),"HEAD &amp; SHOULDERS","Head &amp; Shoulders"),"ELVIVE","Elvive"),"FRUCTIS","Fructis")))</f>
        <v/>
      </c>
      <c r="R272" s="8">
        <f>COUNTIF($D$2:$D$10000,D272)&gt;1</f>
        <v/>
      </c>
      <c r="S272" s="8">
        <f>IF(H272=TRUE,"Disponible","No disponible")</f>
        <v/>
      </c>
      <c r="T272" s="8">
        <f>IF(AND(ISNUMBER(I272),I272&gt;0),ROUND(F272/I272,2),"Sin volumen")</f>
        <v/>
      </c>
      <c r="U272" s="8">
        <f>IF(F272&lt;5000,"Bajo",IF(F272&lt;15000,"Medio","Alto"))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TRIM(CLEAN(PROPER(D274)))</f>
        <v/>
      </c>
      <c r="Q274" s="8">
        <f>PROPER(TRIM(SUBSTITUTE(SUBSTITUTE(SUBSTITUTE(SUBSTITUTE(E274,"TRESEMME","Tresemme"),"HEAD &amp; SHOULDERS","Head &amp; Shoulders"),"ELVIVE","Elvive"),"FRUCTIS","Fructis")))</f>
        <v/>
      </c>
      <c r="R274" s="8">
        <f>COUNTIF($D$2:$D$10000,D274)&gt;1</f>
        <v/>
      </c>
      <c r="S274" s="8">
        <f>IF(H274=TRUE,"Disponible","No disponible")</f>
        <v/>
      </c>
      <c r="T274" s="8">
        <f>IF(AND(ISNUMBER(I274),I274&gt;0),ROUND(F274/I274,2),"Sin volumen")</f>
        <v/>
      </c>
      <c r="U274" s="8">
        <f>IF(F274&lt;5000,"Bajo",IF(F274&lt;15000,"Medio","Alto"))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TRIM(CLEAN(PROPER(D276)))</f>
        <v/>
      </c>
      <c r="Q276" s="8">
        <f>PROPER(TRIM(SUBSTITUTE(SUBSTITUTE(SUBSTITUTE(SUBSTITUTE(E276,"TRESEMME","Tresemme"),"HEAD &amp; SHOULDERS","Head &amp; Shoulders"),"ELVIVE","Elvive"),"FRUCTIS","Fructis")))</f>
        <v/>
      </c>
      <c r="R276" s="8">
        <f>COUNTIF($D$2:$D$10000,D276)&gt;1</f>
        <v/>
      </c>
      <c r="S276" s="8">
        <f>IF(H276=TRUE,"Disponible","No disponible")</f>
        <v/>
      </c>
      <c r="T276" s="8">
        <f>IF(AND(ISNUMBER(I276),I276&gt;0),ROUND(F276/I276,2),"Sin volumen")</f>
        <v/>
      </c>
      <c r="U276" s="8">
        <f>IF(F276&lt;5000,"Bajo",IF(F276&lt;15000,"Medio","Alto"))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TRIM(CLEAN(PROPER(D278)))</f>
        <v/>
      </c>
      <c r="Q278" s="8">
        <f>PROPER(TRIM(SUBSTITUTE(SUBSTITUTE(SUBSTITUTE(SUBSTITUTE(E278,"TRESEMME","Tresemme"),"HEAD &amp; SHOULDERS","Head &amp; Shoulders"),"ELVIVE","Elvive"),"FRUCTIS","Fructis")))</f>
        <v/>
      </c>
      <c r="R278" s="8">
        <f>COUNTIF($D$2:$D$10000,D278)&gt;1</f>
        <v/>
      </c>
      <c r="S278" s="8">
        <f>IF(H278=TRUE,"Disponible","No disponible")</f>
        <v/>
      </c>
      <c r="T278" s="8">
        <f>IF(AND(ISNUMBER(I278),I278&gt;0),ROUND(F278/I278,2),"Sin volumen")</f>
        <v/>
      </c>
      <c r="U278" s="8">
        <f>IF(F278&lt;5000,"Bajo",IF(F278&lt;15000,"Medio","Alto"))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TRIM(CLEAN(PROPER(D280)))</f>
        <v/>
      </c>
      <c r="Q280" s="8">
        <f>PROPER(TRIM(SUBSTITUTE(SUBSTITUTE(SUBSTITUTE(SUBSTITUTE(E280,"TRESEMME","Tresemme"),"HEAD &amp; SHOULDERS","Head &amp; Shoulders"),"ELVIVE","Elvive"),"FRUCTIS","Fructis")))</f>
        <v/>
      </c>
      <c r="R280" s="8">
        <f>COUNTIF($D$2:$D$10000,D280)&gt;1</f>
        <v/>
      </c>
      <c r="S280" s="8">
        <f>IF(H280=TRUE,"Disponible","No disponible")</f>
        <v/>
      </c>
      <c r="T280" s="8">
        <f>IF(AND(ISNUMBER(I280),I280&gt;0),ROUND(F280/I280,2),"Sin volumen")</f>
        <v/>
      </c>
      <c r="U280" s="8">
        <f>IF(F280&lt;5000,"Bajo",IF(F280&lt;15000,"Medio","Alto"))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TRIM(CLEAN(PROPER(D282)))</f>
        <v/>
      </c>
      <c r="Q282" s="8">
        <f>PROPER(TRIM(SUBSTITUTE(SUBSTITUTE(SUBSTITUTE(SUBSTITUTE(E282,"TRESEMME","Tresemme"),"HEAD &amp; SHOULDERS","Head &amp; Shoulders"),"ELVIVE","Elvive"),"FRUCTIS","Fructis")))</f>
        <v/>
      </c>
      <c r="R282" s="8">
        <f>COUNTIF($D$2:$D$10000,D282)&gt;1</f>
        <v/>
      </c>
      <c r="S282" s="8">
        <f>IF(H282=TRUE,"Disponible","No disponible")</f>
        <v/>
      </c>
      <c r="T282" s="8">
        <f>IF(AND(ISNUMBER(I282),I282&gt;0),ROUND(F282/I282,2),"Sin volumen")</f>
        <v/>
      </c>
      <c r="U282" s="8">
        <f>IF(F282&lt;5000,"Bajo",IF(F282&lt;15000,"Medio","Alto"))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TRIM(CLEAN(PROPER(D284)))</f>
        <v/>
      </c>
      <c r="Q284" s="8">
        <f>PROPER(TRIM(SUBSTITUTE(SUBSTITUTE(SUBSTITUTE(SUBSTITUTE(E284,"TRESEMME","Tresemme"),"HEAD &amp; SHOULDERS","Head &amp; Shoulders"),"ELVIVE","Elvive"),"FRUCTIS","Fructis")))</f>
        <v/>
      </c>
      <c r="R284" s="8">
        <f>COUNTIF($D$2:$D$10000,D284)&gt;1</f>
        <v/>
      </c>
      <c r="S284" s="8">
        <f>IF(H284=TRUE,"Disponible","No disponible")</f>
        <v/>
      </c>
      <c r="T284" s="8">
        <f>IF(AND(ISNUMBER(I284),I284&gt;0),ROUND(F284/I284,2),"Sin volumen")</f>
        <v/>
      </c>
      <c r="U284" s="8">
        <f>IF(F284&lt;5000,"Bajo",IF(F284&lt;15000,"Medio","Alto"))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TRIM(CLEAN(PROPER(D286)))</f>
        <v/>
      </c>
      <c r="Q286" s="8">
        <f>PROPER(TRIM(SUBSTITUTE(SUBSTITUTE(SUBSTITUTE(SUBSTITUTE(E286,"TRESEMME","Tresemme"),"HEAD &amp; SHOULDERS","Head &amp; Shoulders"),"ELVIVE","Elvive"),"FRUCTIS","Fructis")))</f>
        <v/>
      </c>
      <c r="R286" s="8">
        <f>COUNTIF($D$2:$D$10000,D286)&gt;1</f>
        <v/>
      </c>
      <c r="S286" s="8">
        <f>IF(H286=TRUE,"Disponible","No disponible")</f>
        <v/>
      </c>
      <c r="T286" s="8">
        <f>IF(AND(ISNUMBER(I286),I286&gt;0),ROUND(F286/I286,2),"Sin volumen")</f>
        <v/>
      </c>
      <c r="U286" s="8">
        <f>IF(F286&lt;5000,"Bajo",IF(F286&lt;15000,"Medio","Alto"))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TRIM(CLEAN(PROPER(D288)))</f>
        <v/>
      </c>
      <c r="Q288" s="8">
        <f>PROPER(TRIM(SUBSTITUTE(SUBSTITUTE(SUBSTITUTE(SUBSTITUTE(E288,"TRESEMME","Tresemme"),"HEAD &amp; SHOULDERS","Head &amp; Shoulders"),"ELVIVE","Elvive"),"FRUCTIS","Fructis")))</f>
        <v/>
      </c>
      <c r="R288" s="8">
        <f>COUNTIF($D$2:$D$10000,D288)&gt;1</f>
        <v/>
      </c>
      <c r="S288" s="8">
        <f>IF(H288=TRUE,"Disponible","No disponible")</f>
        <v/>
      </c>
      <c r="T288" s="8">
        <f>IF(AND(ISNUMBER(I288),I288&gt;0),ROUND(F288/I288,2),"Sin volumen")</f>
        <v/>
      </c>
      <c r="U288" s="8">
        <f>IF(F288&lt;5000,"Bajo",IF(F288&lt;15000,"Medio","Alto"))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TRIM(CLEAN(PROPER(D290)))</f>
        <v/>
      </c>
      <c r="Q290" s="8">
        <f>PROPER(TRIM(SUBSTITUTE(SUBSTITUTE(SUBSTITUTE(SUBSTITUTE(E290,"TRESEMME","Tresemme"),"HEAD &amp; SHOULDERS","Head &amp; Shoulders"),"ELVIVE","Elvive"),"FRUCTIS","Fructis")))</f>
        <v/>
      </c>
      <c r="R290" s="8">
        <f>COUNTIF($D$2:$D$10000,D290)&gt;1</f>
        <v/>
      </c>
      <c r="S290" s="8">
        <f>IF(H290=TRUE,"Disponible","No disponible")</f>
        <v/>
      </c>
      <c r="T290" s="8">
        <f>IF(AND(ISNUMBER(I290),I290&gt;0),ROUND(F290/I290,2),"Sin volumen")</f>
        <v/>
      </c>
      <c r="U290" s="8">
        <f>IF(F290&lt;5000,"Bajo",IF(F290&lt;15000,"Medio","Alto"))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TRIM(CLEAN(PROPER(D292)))</f>
        <v/>
      </c>
      <c r="Q292" s="8">
        <f>PROPER(TRIM(SUBSTITUTE(SUBSTITUTE(SUBSTITUTE(SUBSTITUTE(E292,"TRESEMME","Tresemme"),"HEAD &amp; SHOULDERS","Head &amp; Shoulders"),"ELVIVE","Elvive"),"FRUCTIS","Fructis")))</f>
        <v/>
      </c>
      <c r="R292" s="8">
        <f>COUNTIF($D$2:$D$10000,D292)&gt;1</f>
        <v/>
      </c>
      <c r="S292" s="8">
        <f>IF(H292=TRUE,"Disponible","No disponible")</f>
        <v/>
      </c>
      <c r="T292" s="8">
        <f>IF(AND(ISNUMBER(I292),I292&gt;0),ROUND(F292/I292,2),"Sin volumen")</f>
        <v/>
      </c>
      <c r="U292" s="8">
        <f>IF(F292&lt;5000,"Bajo",IF(F292&lt;15000,"Medio","Alto"))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TRIM(CLEAN(PROPER(D294)))</f>
        <v/>
      </c>
      <c r="Q294" s="8">
        <f>PROPER(TRIM(SUBSTITUTE(SUBSTITUTE(SUBSTITUTE(SUBSTITUTE(E294,"TRESEMME","Tresemme"),"HEAD &amp; SHOULDERS","Head &amp; Shoulders"),"ELVIVE","Elvive"),"FRUCTIS","Fructis")))</f>
        <v/>
      </c>
      <c r="R294" s="8">
        <f>COUNTIF($D$2:$D$10000,D294)&gt;1</f>
        <v/>
      </c>
      <c r="S294" s="8">
        <f>IF(H294=TRUE,"Disponible","No disponible")</f>
        <v/>
      </c>
      <c r="T294" s="8">
        <f>IF(AND(ISNUMBER(I294),I294&gt;0),ROUND(F294/I294,2),"Sin volumen")</f>
        <v/>
      </c>
      <c r="U294" s="8">
        <f>IF(F294&lt;5000,"Bajo",IF(F294&lt;15000,"Medio","Alto"))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TRIM(CLEAN(PROPER(D296)))</f>
        <v/>
      </c>
      <c r="Q296" s="8">
        <f>PROPER(TRIM(SUBSTITUTE(SUBSTITUTE(SUBSTITUTE(SUBSTITUTE(E296,"TRESEMME","Tresemme"),"HEAD &amp; SHOULDERS","Head &amp; Shoulders"),"ELVIVE","Elvive"),"FRUCTIS","Fructis")))</f>
        <v/>
      </c>
      <c r="R296" s="8">
        <f>COUNTIF($D$2:$D$10000,D296)&gt;1</f>
        <v/>
      </c>
      <c r="S296" s="8">
        <f>IF(H296=TRUE,"Disponible","No disponible")</f>
        <v/>
      </c>
      <c r="T296" s="8">
        <f>IF(AND(ISNUMBER(I296),I296&gt;0),ROUND(F296/I296,2),"Sin volumen")</f>
        <v/>
      </c>
      <c r="U296" s="8">
        <f>IF(F296&lt;5000,"Bajo",IF(F296&lt;15000,"Medio","Alto"))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TRIM(CLEAN(PROPER(D298)))</f>
        <v/>
      </c>
      <c r="Q298" s="8">
        <f>PROPER(TRIM(SUBSTITUTE(SUBSTITUTE(SUBSTITUTE(SUBSTITUTE(E298,"TRESEMME","Tresemme"),"HEAD &amp; SHOULDERS","Head &amp; Shoulders"),"ELVIVE","Elvive"),"FRUCTIS","Fructis")))</f>
        <v/>
      </c>
      <c r="R298" s="8">
        <f>COUNTIF($D$2:$D$10000,D298)&gt;1</f>
        <v/>
      </c>
      <c r="S298" s="8">
        <f>IF(H298=TRUE,"Disponible","No disponible")</f>
        <v/>
      </c>
      <c r="T298" s="8">
        <f>IF(AND(ISNUMBER(I298),I298&gt;0),ROUND(F298/I298,2),"Sin volumen")</f>
        <v/>
      </c>
      <c r="U298" s="8">
        <f>IF(F298&lt;5000,"Bajo",IF(F298&lt;15000,"Medio","Alto"))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TRIM(CLEAN(PROPER(D300)))</f>
        <v/>
      </c>
      <c r="Q300" s="8">
        <f>PROPER(TRIM(SUBSTITUTE(SUBSTITUTE(SUBSTITUTE(SUBSTITUTE(E300,"TRESEMME","Tresemme"),"HEAD &amp; SHOULDERS","Head &amp; Shoulders"),"ELVIVE","Elvive"),"FRUCTIS","Fructis")))</f>
        <v/>
      </c>
      <c r="R300" s="8">
        <f>COUNTIF($D$2:$D$10000,D300)&gt;1</f>
        <v/>
      </c>
      <c r="S300" s="8">
        <f>IF(H300=TRUE,"Disponible","No disponible")</f>
        <v/>
      </c>
      <c r="T300" s="8">
        <f>IF(AND(ISNUMBER(I300),I300&gt;0),ROUND(F300/I300,2),"Sin volumen")</f>
        <v/>
      </c>
      <c r="U300" s="8">
        <f>IF(F300&lt;5000,"Bajo",IF(F300&lt;15000,"Medio","Alto"))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TRIM(CLEAN(PROPER(D302)))</f>
        <v/>
      </c>
      <c r="Q302" s="8">
        <f>PROPER(TRIM(SUBSTITUTE(SUBSTITUTE(SUBSTITUTE(SUBSTITUTE(E302,"TRESEMME","Tresemme"),"HEAD &amp; SHOULDERS","Head &amp; Shoulders"),"ELVIVE","Elvive"),"FRUCTIS","Fructis")))</f>
        <v/>
      </c>
      <c r="R302" s="8">
        <f>COUNTIF($D$2:$D$10000,D302)&gt;1</f>
        <v/>
      </c>
      <c r="S302" s="8">
        <f>IF(H302=TRUE,"Disponible","No disponible")</f>
        <v/>
      </c>
      <c r="T302" s="8">
        <f>IF(AND(ISNUMBER(I302),I302&gt;0),ROUND(F302/I302,2),"Sin volumen")</f>
        <v/>
      </c>
      <c r="U302" s="8">
        <f>IF(F302&lt;5000,"Bajo",IF(F302&lt;15000,"Medio","Alto"))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TRIM(CLEAN(PROPER(D304)))</f>
        <v/>
      </c>
      <c r="Q304" s="8">
        <f>PROPER(TRIM(SUBSTITUTE(SUBSTITUTE(SUBSTITUTE(SUBSTITUTE(E304,"TRESEMME","Tresemme"),"HEAD &amp; SHOULDERS","Head &amp; Shoulders"),"ELVIVE","Elvive"),"FRUCTIS","Fructis")))</f>
        <v/>
      </c>
      <c r="R304" s="8">
        <f>COUNTIF($D$2:$D$10000,D304)&gt;1</f>
        <v/>
      </c>
      <c r="S304" s="8">
        <f>IF(H304=TRUE,"Disponible","No disponible")</f>
        <v/>
      </c>
      <c r="T304" s="8">
        <f>IF(AND(ISNUMBER(I304),I304&gt;0),ROUND(F304/I304,2),"Sin volumen")</f>
        <v/>
      </c>
      <c r="U304" s="8">
        <f>IF(F304&lt;5000,"Bajo",IF(F304&lt;15000,"Medio","Alto"))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TRIM(CLEAN(PROPER(D306)))</f>
        <v/>
      </c>
      <c r="Q306" s="8">
        <f>PROPER(TRIM(SUBSTITUTE(SUBSTITUTE(SUBSTITUTE(SUBSTITUTE(E306,"TRESEMME","Tresemme"),"HEAD &amp; SHOULDERS","Head &amp; Shoulders"),"ELVIVE","Elvive"),"FRUCTIS","Fructis")))</f>
        <v/>
      </c>
      <c r="R306" s="8">
        <f>COUNTIF($D$2:$D$10000,D306)&gt;1</f>
        <v/>
      </c>
      <c r="S306" s="8">
        <f>IF(H306=TRUE,"Disponible","No disponible")</f>
        <v/>
      </c>
      <c r="T306" s="8">
        <f>IF(AND(ISNUMBER(I306),I306&gt;0),ROUND(F306/I306,2),"Sin volumen")</f>
        <v/>
      </c>
      <c r="U306" s="8">
        <f>IF(F306&lt;5000,"Bajo",IF(F306&lt;15000,"Medio","Alto"))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TRIM(CLEAN(PROPER(D308)))</f>
        <v/>
      </c>
      <c r="Q308" s="8">
        <f>PROPER(TRIM(SUBSTITUTE(SUBSTITUTE(SUBSTITUTE(SUBSTITUTE(E308,"TRESEMME","Tresemme"),"HEAD &amp; SHOULDERS","Head &amp; Shoulders"),"ELVIVE","Elvive"),"FRUCTIS","Fructis")))</f>
        <v/>
      </c>
      <c r="R308" s="8">
        <f>COUNTIF($D$2:$D$10000,D308)&gt;1</f>
        <v/>
      </c>
      <c r="S308" s="8">
        <f>IF(H308=TRUE,"Disponible","No disponible")</f>
        <v/>
      </c>
      <c r="T308" s="8">
        <f>IF(AND(ISNUMBER(I308),I308&gt;0),ROUND(F308/I308,2),"Sin volumen")</f>
        <v/>
      </c>
      <c r="U308" s="8">
        <f>IF(F308&lt;5000,"Bajo",IF(F308&lt;15000,"Medio","Alto"))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TRIM(CLEAN(PROPER(D310)))</f>
        <v/>
      </c>
      <c r="Q310" s="8">
        <f>PROPER(TRIM(SUBSTITUTE(SUBSTITUTE(SUBSTITUTE(SUBSTITUTE(E310,"TRESEMME","Tresemme"),"HEAD &amp; SHOULDERS","Head &amp; Shoulders"),"ELVIVE","Elvive"),"FRUCTIS","Fructis")))</f>
        <v/>
      </c>
      <c r="R310" s="8">
        <f>COUNTIF($D$2:$D$10000,D310)&gt;1</f>
        <v/>
      </c>
      <c r="S310" s="8">
        <f>IF(H310=TRUE,"Disponible","No disponible")</f>
        <v/>
      </c>
      <c r="T310" s="8">
        <f>IF(AND(ISNUMBER(I310),I310&gt;0),ROUND(F310/I310,2),"Sin volumen")</f>
        <v/>
      </c>
      <c r="U310" s="8">
        <f>IF(F310&lt;5000,"Bajo",IF(F310&lt;15000,"Medio","Alto"))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TRIM(CLEAN(PROPER(D312)))</f>
        <v/>
      </c>
      <c r="Q312" s="8">
        <f>PROPER(TRIM(SUBSTITUTE(SUBSTITUTE(SUBSTITUTE(SUBSTITUTE(E312,"TRESEMME","Tresemme"),"HEAD &amp; SHOULDERS","Head &amp; Shoulders"),"ELVIVE","Elvive"),"FRUCTIS","Fructis")))</f>
        <v/>
      </c>
      <c r="R312" s="8">
        <f>COUNTIF($D$2:$D$10000,D312)&gt;1</f>
        <v/>
      </c>
      <c r="S312" s="8">
        <f>IF(H312=TRUE,"Disponible","No disponible")</f>
        <v/>
      </c>
      <c r="T312" s="8">
        <f>IF(AND(ISNUMBER(I312),I312&gt;0),ROUND(F312/I312,2),"Sin volumen")</f>
        <v/>
      </c>
      <c r="U312" s="8">
        <f>IF(F312&lt;5000,"Bajo",IF(F312&lt;15000,"Medio","Alto"))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TRIM(CLEAN(PROPER(D314)))</f>
        <v/>
      </c>
      <c r="Q314" s="8">
        <f>PROPER(TRIM(SUBSTITUTE(SUBSTITUTE(SUBSTITUTE(SUBSTITUTE(E314,"TRESEMME","Tresemme"),"HEAD &amp; SHOULDERS","Head &amp; Shoulders"),"ELVIVE","Elvive"),"FRUCTIS","Fructis")))</f>
        <v/>
      </c>
      <c r="R314" s="8">
        <f>COUNTIF($D$2:$D$10000,D314)&gt;1</f>
        <v/>
      </c>
      <c r="S314" s="8">
        <f>IF(H314=TRUE,"Disponible","No disponible")</f>
        <v/>
      </c>
      <c r="T314" s="8">
        <f>IF(AND(ISNUMBER(I314),I314&gt;0),ROUND(F314/I314,2),"Sin volumen")</f>
        <v/>
      </c>
      <c r="U314" s="8">
        <f>IF(F314&lt;5000,"Bajo",IF(F314&lt;15000,"Medio","Alto"))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TRIM(CLEAN(PROPER(D316)))</f>
        <v/>
      </c>
      <c r="Q316" s="8">
        <f>PROPER(TRIM(SUBSTITUTE(SUBSTITUTE(SUBSTITUTE(SUBSTITUTE(E316,"TRESEMME","Tresemme"),"HEAD &amp; SHOULDERS","Head &amp; Shoulders"),"ELVIVE","Elvive"),"FRUCTIS","Fructis")))</f>
        <v/>
      </c>
      <c r="R316" s="8">
        <f>COUNTIF($D$2:$D$10000,D316)&gt;1</f>
        <v/>
      </c>
      <c r="S316" s="8">
        <f>IF(H316=TRUE,"Disponible","No disponible")</f>
        <v/>
      </c>
      <c r="T316" s="8">
        <f>IF(AND(ISNUMBER(I316),I316&gt;0),ROUND(F316/I316,2),"Sin volumen")</f>
        <v/>
      </c>
      <c r="U316" s="8">
        <f>IF(F316&lt;5000,"Bajo",IF(F316&lt;15000,"Medio","Alto"))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TRIM(CLEAN(PROPER(D318)))</f>
        <v/>
      </c>
      <c r="Q318" s="8">
        <f>PROPER(TRIM(SUBSTITUTE(SUBSTITUTE(SUBSTITUTE(SUBSTITUTE(E318,"TRESEMME","Tresemme"),"HEAD &amp; SHOULDERS","Head &amp; Shoulders"),"ELVIVE","Elvive"),"FRUCTIS","Fructis")))</f>
        <v/>
      </c>
      <c r="R318" s="8">
        <f>COUNTIF($D$2:$D$10000,D318)&gt;1</f>
        <v/>
      </c>
      <c r="S318" s="8">
        <f>IF(H318=TRUE,"Disponible","No disponible")</f>
        <v/>
      </c>
      <c r="T318" s="8">
        <f>IF(AND(ISNUMBER(I318),I318&gt;0),ROUND(F318/I318,2),"Sin volumen")</f>
        <v/>
      </c>
      <c r="U318" s="8">
        <f>IF(F318&lt;5000,"Bajo",IF(F318&lt;15000,"Medio","Alto"))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TRIM(CLEAN(PROPER(D320)))</f>
        <v/>
      </c>
      <c r="Q320" s="8">
        <f>PROPER(TRIM(SUBSTITUTE(SUBSTITUTE(SUBSTITUTE(SUBSTITUTE(E320,"TRESEMME","Tresemme"),"HEAD &amp; SHOULDERS","Head &amp; Shoulders"),"ELVIVE","Elvive"),"FRUCTIS","Fructis")))</f>
        <v/>
      </c>
      <c r="R320" s="8">
        <f>COUNTIF($D$2:$D$10000,D320)&gt;1</f>
        <v/>
      </c>
      <c r="S320" s="8">
        <f>IF(H320=TRUE,"Disponible","No disponible")</f>
        <v/>
      </c>
      <c r="T320" s="8">
        <f>IF(AND(ISNUMBER(I320),I320&gt;0),ROUND(F320/I320,2),"Sin volumen")</f>
        <v/>
      </c>
      <c r="U320" s="8">
        <f>IF(F320&lt;5000,"Bajo",IF(F320&lt;15000,"Medio","Alto"))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TRIM(CLEAN(PROPER(D322)))</f>
        <v/>
      </c>
      <c r="Q322" s="8">
        <f>PROPER(TRIM(SUBSTITUTE(SUBSTITUTE(SUBSTITUTE(SUBSTITUTE(E322,"TRESEMME","Tresemme"),"HEAD &amp; SHOULDERS","Head &amp; Shoulders"),"ELVIVE","Elvive"),"FRUCTIS","Fructis")))</f>
        <v/>
      </c>
      <c r="R322" s="8">
        <f>COUNTIF($D$2:$D$10000,D322)&gt;1</f>
        <v/>
      </c>
      <c r="S322" s="8">
        <f>IF(H322=TRUE,"Disponible","No disponible")</f>
        <v/>
      </c>
      <c r="T322" s="8">
        <f>IF(AND(ISNUMBER(I322),I322&gt;0),ROUND(F322/I322,2),"Sin volumen")</f>
        <v/>
      </c>
      <c r="U322" s="8">
        <f>IF(F322&lt;5000,"Bajo",IF(F322&lt;15000,"Medio","Alto"))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TRIM(CLEAN(PROPER(D324)))</f>
        <v/>
      </c>
      <c r="Q324" s="8">
        <f>PROPER(TRIM(SUBSTITUTE(SUBSTITUTE(SUBSTITUTE(SUBSTITUTE(E324,"TRESEMME","Tresemme"),"HEAD &amp; SHOULDERS","Head &amp; Shoulders"),"ELVIVE","Elvive"),"FRUCTIS","Fructis")))</f>
        <v/>
      </c>
      <c r="R324" s="8">
        <f>COUNTIF($D$2:$D$10000,D324)&gt;1</f>
        <v/>
      </c>
      <c r="S324" s="8">
        <f>IF(H324=TRUE,"Disponible","No disponible")</f>
        <v/>
      </c>
      <c r="T324" s="8">
        <f>IF(AND(ISNUMBER(I324),I324&gt;0),ROUND(F324/I324,2),"Sin volumen")</f>
        <v/>
      </c>
      <c r="U324" s="8">
        <f>IF(F324&lt;5000,"Bajo",IF(F324&lt;15000,"Medio","Alto"))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TRIM(CLEAN(PROPER(D326)))</f>
        <v/>
      </c>
      <c r="Q326" s="8">
        <f>PROPER(TRIM(SUBSTITUTE(SUBSTITUTE(SUBSTITUTE(SUBSTITUTE(E326,"TRESEMME","Tresemme"),"HEAD &amp; SHOULDERS","Head &amp; Shoulders"),"ELVIVE","Elvive"),"FRUCTIS","Fructis")))</f>
        <v/>
      </c>
      <c r="R326" s="8">
        <f>COUNTIF($D$2:$D$10000,D326)&gt;1</f>
        <v/>
      </c>
      <c r="S326" s="8">
        <f>IF(H326=TRUE,"Disponible","No disponible")</f>
        <v/>
      </c>
      <c r="T326" s="8">
        <f>IF(AND(ISNUMBER(I326),I326&gt;0),ROUND(F326/I326,2),"Sin volumen")</f>
        <v/>
      </c>
      <c r="U326" s="8">
        <f>IF(F326&lt;5000,"Bajo",IF(F326&lt;15000,"Medio","Alto"))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TRIM(CLEAN(PROPER(D328)))</f>
        <v/>
      </c>
      <c r="Q328" s="8">
        <f>PROPER(TRIM(SUBSTITUTE(SUBSTITUTE(SUBSTITUTE(SUBSTITUTE(E328,"TRESEMME","Tresemme"),"HEAD &amp; SHOULDERS","Head &amp; Shoulders"),"ELVIVE","Elvive"),"FRUCTIS","Fructis")))</f>
        <v/>
      </c>
      <c r="R328" s="8">
        <f>COUNTIF($D$2:$D$10000,D328)&gt;1</f>
        <v/>
      </c>
      <c r="S328" s="8">
        <f>IF(H328=TRUE,"Disponible","No disponible")</f>
        <v/>
      </c>
      <c r="T328" s="8">
        <f>IF(AND(ISNUMBER(I328),I328&gt;0),ROUND(F328/I328,2),"Sin volumen")</f>
        <v/>
      </c>
      <c r="U328" s="8">
        <f>IF(F328&lt;5000,"Bajo",IF(F328&lt;15000,"Medio","Alto"))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TRIM(CLEAN(PROPER(D330)))</f>
        <v/>
      </c>
      <c r="Q330" s="8">
        <f>PROPER(TRIM(SUBSTITUTE(SUBSTITUTE(SUBSTITUTE(SUBSTITUTE(E330,"TRESEMME","Tresemme"),"HEAD &amp; SHOULDERS","Head &amp; Shoulders"),"ELVIVE","Elvive"),"FRUCTIS","Fructis")))</f>
        <v/>
      </c>
      <c r="R330" s="8">
        <f>COUNTIF($D$2:$D$10000,D330)&gt;1</f>
        <v/>
      </c>
      <c r="S330" s="8">
        <f>IF(H330=TRUE,"Disponible","No disponible")</f>
        <v/>
      </c>
      <c r="T330" s="8">
        <f>IF(AND(ISNUMBER(I330),I330&gt;0),ROUND(F330/I330,2),"Sin volumen")</f>
        <v/>
      </c>
      <c r="U330" s="8">
        <f>IF(F330&lt;5000,"Bajo",IF(F330&lt;15000,"Medio","Alto"))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TRIM(CLEAN(PROPER(D332)))</f>
        <v/>
      </c>
      <c r="Q332" s="8">
        <f>PROPER(TRIM(SUBSTITUTE(SUBSTITUTE(SUBSTITUTE(SUBSTITUTE(E332,"TRESEMME","Tresemme"),"HEAD &amp; SHOULDERS","Head &amp; Shoulders"),"ELVIVE","Elvive"),"FRUCTIS","Fructis")))</f>
        <v/>
      </c>
      <c r="R332" s="8">
        <f>COUNTIF($D$2:$D$10000,D332)&gt;1</f>
        <v/>
      </c>
      <c r="S332" s="8">
        <f>IF(H332=TRUE,"Disponible","No disponible")</f>
        <v/>
      </c>
      <c r="T332" s="8">
        <f>IF(AND(ISNUMBER(I332),I332&gt;0),ROUND(F332/I332,2),"Sin volumen")</f>
        <v/>
      </c>
      <c r="U332" s="8">
        <f>IF(F332&lt;5000,"Bajo",IF(F332&lt;15000,"Medio","Alto"))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TRIM(CLEAN(PROPER(D334)))</f>
        <v/>
      </c>
      <c r="Q334" s="8">
        <f>PROPER(TRIM(SUBSTITUTE(SUBSTITUTE(SUBSTITUTE(SUBSTITUTE(E334,"TRESEMME","Tresemme"),"HEAD &amp; SHOULDERS","Head &amp; Shoulders"),"ELVIVE","Elvive"),"FRUCTIS","Fructis")))</f>
        <v/>
      </c>
      <c r="R334" s="8">
        <f>COUNTIF($D$2:$D$10000,D334)&gt;1</f>
        <v/>
      </c>
      <c r="S334" s="8">
        <f>IF(H334=TRUE,"Disponible","No disponible")</f>
        <v/>
      </c>
      <c r="T334" s="8">
        <f>IF(AND(ISNUMBER(I334),I334&gt;0),ROUND(F334/I334,2),"Sin volumen")</f>
        <v/>
      </c>
      <c r="U334" s="8">
        <f>IF(F334&lt;5000,"Bajo",IF(F334&lt;15000,"Medio","Alto"))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TRIM(CLEAN(PROPER(D336)))</f>
        <v/>
      </c>
      <c r="Q336" s="8">
        <f>PROPER(TRIM(SUBSTITUTE(SUBSTITUTE(SUBSTITUTE(SUBSTITUTE(E336,"TRESEMME","Tresemme"),"HEAD &amp; SHOULDERS","Head &amp; Shoulders"),"ELVIVE","Elvive"),"FRUCTIS","Fructis")))</f>
        <v/>
      </c>
      <c r="R336" s="8">
        <f>COUNTIF($D$2:$D$10000,D336)&gt;1</f>
        <v/>
      </c>
      <c r="S336" s="8">
        <f>IF(H336=TRUE,"Disponible","No disponible")</f>
        <v/>
      </c>
      <c r="T336" s="8">
        <f>IF(AND(ISNUMBER(I336),I336&gt;0),ROUND(F336/I336,2),"Sin volumen")</f>
        <v/>
      </c>
      <c r="U336" s="8">
        <f>IF(F336&lt;5000,"Bajo",IF(F336&lt;15000,"Medio","Alto"))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TRIM(CLEAN(PROPER(D338)))</f>
        <v/>
      </c>
      <c r="Q338" s="8">
        <f>PROPER(TRIM(SUBSTITUTE(SUBSTITUTE(SUBSTITUTE(SUBSTITUTE(E338,"TRESEMME","Tresemme"),"HEAD &amp; SHOULDERS","Head &amp; Shoulders"),"ELVIVE","Elvive"),"FRUCTIS","Fructis")))</f>
        <v/>
      </c>
      <c r="R338" s="8">
        <f>COUNTIF($D$2:$D$10000,D338)&gt;1</f>
        <v/>
      </c>
      <c r="S338" s="8">
        <f>IF(H338=TRUE,"Disponible","No disponible")</f>
        <v/>
      </c>
      <c r="T338" s="8">
        <f>IF(AND(ISNUMBER(I338),I338&gt;0),ROUND(F338/I338,2),"Sin volumen")</f>
        <v/>
      </c>
      <c r="U338" s="8">
        <f>IF(F338&lt;5000,"Bajo",IF(F338&lt;15000,"Medio","Alto"))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TRIM(CLEAN(PROPER(D340)))</f>
        <v/>
      </c>
      <c r="Q340" s="8">
        <f>PROPER(TRIM(SUBSTITUTE(SUBSTITUTE(SUBSTITUTE(SUBSTITUTE(E340,"TRESEMME","Tresemme"),"HEAD &amp; SHOULDERS","Head &amp; Shoulders"),"ELVIVE","Elvive"),"FRUCTIS","Fructis")))</f>
        <v/>
      </c>
      <c r="R340" s="8">
        <f>COUNTIF($D$2:$D$10000,D340)&gt;1</f>
        <v/>
      </c>
      <c r="S340" s="8">
        <f>IF(H340=TRUE,"Disponible","No disponible")</f>
        <v/>
      </c>
      <c r="T340" s="8">
        <f>IF(AND(ISNUMBER(I340),I340&gt;0),ROUND(F340/I340,2),"Sin volumen")</f>
        <v/>
      </c>
      <c r="U340" s="8">
        <f>IF(F340&lt;5000,"Bajo",IF(F340&lt;15000,"Medio","Alto"))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TRIM(CLEAN(PROPER(D342)))</f>
        <v/>
      </c>
      <c r="Q342" s="8">
        <f>PROPER(TRIM(SUBSTITUTE(SUBSTITUTE(SUBSTITUTE(SUBSTITUTE(E342,"TRESEMME","Tresemme"),"HEAD &amp; SHOULDERS","Head &amp; Shoulders"),"ELVIVE","Elvive"),"FRUCTIS","Fructis")))</f>
        <v/>
      </c>
      <c r="R342" s="8">
        <f>COUNTIF($D$2:$D$10000,D342)&gt;1</f>
        <v/>
      </c>
      <c r="S342" s="8">
        <f>IF(H342=TRUE,"Disponible","No disponible")</f>
        <v/>
      </c>
      <c r="T342" s="8">
        <f>IF(AND(ISNUMBER(I342),I342&gt;0),ROUND(F342/I342,2),"Sin volumen")</f>
        <v/>
      </c>
      <c r="U342" s="8">
        <f>IF(F342&lt;5000,"Bajo",IF(F342&lt;15000,"Medio","Alto"))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TRIM(CLEAN(PROPER(D344)))</f>
        <v/>
      </c>
      <c r="Q344" s="8">
        <f>PROPER(TRIM(SUBSTITUTE(SUBSTITUTE(SUBSTITUTE(SUBSTITUTE(E344,"TRESEMME","Tresemme"),"HEAD &amp; SHOULDERS","Head &amp; Shoulders"),"ELVIVE","Elvive"),"FRUCTIS","Fructis")))</f>
        <v/>
      </c>
      <c r="R344" s="8">
        <f>COUNTIF($D$2:$D$10000,D344)&gt;1</f>
        <v/>
      </c>
      <c r="S344" s="8">
        <f>IF(H344=TRUE,"Disponible","No disponible")</f>
        <v/>
      </c>
      <c r="T344" s="8">
        <f>IF(AND(ISNUMBER(I344),I344&gt;0),ROUND(F344/I344,2),"Sin volumen")</f>
        <v/>
      </c>
      <c r="U344" s="8">
        <f>IF(F344&lt;5000,"Bajo",IF(F344&lt;15000,"Medio","Alto"))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TRIM(CLEAN(PROPER(D346)))</f>
        <v/>
      </c>
      <c r="Q346" s="8">
        <f>PROPER(TRIM(SUBSTITUTE(SUBSTITUTE(SUBSTITUTE(SUBSTITUTE(E346,"TRESEMME","Tresemme"),"HEAD &amp; SHOULDERS","Head &amp; Shoulders"),"ELVIVE","Elvive"),"FRUCTIS","Fructis")))</f>
        <v/>
      </c>
      <c r="R346" s="8">
        <f>COUNTIF($D$2:$D$10000,D346)&gt;1</f>
        <v/>
      </c>
      <c r="S346" s="8">
        <f>IF(H346=TRUE,"Disponible","No disponible")</f>
        <v/>
      </c>
      <c r="T346" s="8">
        <f>IF(AND(ISNUMBER(I346),I346&gt;0),ROUND(F346/I346,2),"Sin volumen")</f>
        <v/>
      </c>
      <c r="U346" s="8">
        <f>IF(F346&lt;5000,"Bajo",IF(F346&lt;15000,"Medio","Alto"))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TRIM(CLEAN(PROPER(D348)))</f>
        <v/>
      </c>
      <c r="Q348" s="8">
        <f>PROPER(TRIM(SUBSTITUTE(SUBSTITUTE(SUBSTITUTE(SUBSTITUTE(E348,"TRESEMME","Tresemme"),"HEAD &amp; SHOULDERS","Head &amp; Shoulders"),"ELVIVE","Elvive"),"FRUCTIS","Fructis")))</f>
        <v/>
      </c>
      <c r="R348" s="8">
        <f>COUNTIF($D$2:$D$10000,D348)&gt;1</f>
        <v/>
      </c>
      <c r="S348" s="8">
        <f>IF(H348=TRUE,"Disponible","No disponible")</f>
        <v/>
      </c>
      <c r="T348" s="8">
        <f>IF(AND(ISNUMBER(I348),I348&gt;0),ROUND(F348/I348,2),"Sin volumen")</f>
        <v/>
      </c>
      <c r="U348" s="8">
        <f>IF(F348&lt;5000,"Bajo",IF(F348&lt;15000,"Medio","Alto"))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TRIM(CLEAN(PROPER(D350)))</f>
        <v/>
      </c>
      <c r="Q350" s="8">
        <f>PROPER(TRIM(SUBSTITUTE(SUBSTITUTE(SUBSTITUTE(SUBSTITUTE(E350,"TRESEMME","Tresemme"),"HEAD &amp; SHOULDERS","Head &amp; Shoulders"),"ELVIVE","Elvive"),"FRUCTIS","Fructis")))</f>
        <v/>
      </c>
      <c r="R350" s="8">
        <f>COUNTIF($D$2:$D$10000,D350)&gt;1</f>
        <v/>
      </c>
      <c r="S350" s="8">
        <f>IF(H350=TRUE,"Disponible","No disponible")</f>
        <v/>
      </c>
      <c r="T350" s="8">
        <f>IF(AND(ISNUMBER(I350),I350&gt;0),ROUND(F350/I350,2),"Sin volumen")</f>
        <v/>
      </c>
      <c r="U350" s="8">
        <f>IF(F350&lt;5000,"Bajo",IF(F350&lt;15000,"Medio","Alto"))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TRIM(CLEAN(PROPER(D352)))</f>
        <v/>
      </c>
      <c r="Q352" s="8">
        <f>PROPER(TRIM(SUBSTITUTE(SUBSTITUTE(SUBSTITUTE(SUBSTITUTE(E352,"TRESEMME","Tresemme"),"HEAD &amp; SHOULDERS","Head &amp; Shoulders"),"ELVIVE","Elvive"),"FRUCTIS","Fructis")))</f>
        <v/>
      </c>
      <c r="R352" s="8">
        <f>COUNTIF($D$2:$D$10000,D352)&gt;1</f>
        <v/>
      </c>
      <c r="S352" s="8">
        <f>IF(H352=TRUE,"Disponible","No disponible")</f>
        <v/>
      </c>
      <c r="T352" s="8">
        <f>IF(AND(ISNUMBER(I352),I352&gt;0),ROUND(F352/I352,2),"Sin volumen")</f>
        <v/>
      </c>
      <c r="U352" s="8">
        <f>IF(F352&lt;5000,"Bajo",IF(F352&lt;15000,"Medio","Alto"))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TRIM(CLEAN(PROPER(D354)))</f>
        <v/>
      </c>
      <c r="Q354" s="8">
        <f>PROPER(TRIM(SUBSTITUTE(SUBSTITUTE(SUBSTITUTE(SUBSTITUTE(E354,"TRESEMME","Tresemme"),"HEAD &amp; SHOULDERS","Head &amp; Shoulders"),"ELVIVE","Elvive"),"FRUCTIS","Fructis")))</f>
        <v/>
      </c>
      <c r="R354" s="8">
        <f>COUNTIF($D$2:$D$10000,D354)&gt;1</f>
        <v/>
      </c>
      <c r="S354" s="8">
        <f>IF(H354=TRUE,"Disponible","No disponible")</f>
        <v/>
      </c>
      <c r="T354" s="8">
        <f>IF(AND(ISNUMBER(I354),I354&gt;0),ROUND(F354/I354,2),"Sin volumen")</f>
        <v/>
      </c>
      <c r="U354" s="8">
        <f>IF(F354&lt;5000,"Bajo",IF(F354&lt;15000,"Medio","Alto"))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TRIM(CLEAN(PROPER(D356)))</f>
        <v/>
      </c>
      <c r="Q356" s="8">
        <f>PROPER(TRIM(SUBSTITUTE(SUBSTITUTE(SUBSTITUTE(SUBSTITUTE(E356,"TRESEMME","Tresemme"),"HEAD &amp; SHOULDERS","Head &amp; Shoulders"),"ELVIVE","Elvive"),"FRUCTIS","Fructis")))</f>
        <v/>
      </c>
      <c r="R356" s="8">
        <f>COUNTIF($D$2:$D$10000,D356)&gt;1</f>
        <v/>
      </c>
      <c r="S356" s="8">
        <f>IF(H356=TRUE,"Disponible","No disponible")</f>
        <v/>
      </c>
      <c r="T356" s="8">
        <f>IF(AND(ISNUMBER(I356),I356&gt;0),ROUND(F356/I356,2),"Sin volumen")</f>
        <v/>
      </c>
      <c r="U356" s="8">
        <f>IF(F356&lt;5000,"Bajo",IF(F356&lt;15000,"Medio","Alto"))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TRIM(CLEAN(PROPER(D358)))</f>
        <v/>
      </c>
      <c r="Q358" s="8">
        <f>PROPER(TRIM(SUBSTITUTE(SUBSTITUTE(SUBSTITUTE(SUBSTITUTE(E358,"TRESEMME","Tresemme"),"HEAD &amp; SHOULDERS","Head &amp; Shoulders"),"ELVIVE","Elvive"),"FRUCTIS","Fructis")))</f>
        <v/>
      </c>
      <c r="R358" s="8">
        <f>COUNTIF($D$2:$D$10000,D358)&gt;1</f>
        <v/>
      </c>
      <c r="S358" s="8">
        <f>IF(H358=TRUE,"Disponible","No disponible")</f>
        <v/>
      </c>
      <c r="T358" s="8">
        <f>IF(AND(ISNUMBER(I358),I358&gt;0),ROUND(F358/I358,2),"Sin volumen")</f>
        <v/>
      </c>
      <c r="U358" s="8">
        <f>IF(F358&lt;5000,"Bajo",IF(F358&lt;15000,"Medio","Alto"))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TRIM(CLEAN(PROPER(D360)))</f>
        <v/>
      </c>
      <c r="Q360" s="8">
        <f>PROPER(TRIM(SUBSTITUTE(SUBSTITUTE(SUBSTITUTE(SUBSTITUTE(E360,"TRESEMME","Tresemme"),"HEAD &amp; SHOULDERS","Head &amp; Shoulders"),"ELVIVE","Elvive"),"FRUCTIS","Fructis")))</f>
        <v/>
      </c>
      <c r="R360" s="8">
        <f>COUNTIF($D$2:$D$10000,D360)&gt;1</f>
        <v/>
      </c>
      <c r="S360" s="8">
        <f>IF(H360=TRUE,"Disponible","No disponible")</f>
        <v/>
      </c>
      <c r="T360" s="8">
        <f>IF(AND(ISNUMBER(I360),I360&gt;0),ROUND(F360/I360,2),"Sin volumen")</f>
        <v/>
      </c>
      <c r="U360" s="8">
        <f>IF(F360&lt;5000,"Bajo",IF(F360&lt;15000,"Medio","Alto"))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TRIM(CLEAN(PROPER(D362)))</f>
        <v/>
      </c>
      <c r="Q362" s="8">
        <f>PROPER(TRIM(SUBSTITUTE(SUBSTITUTE(SUBSTITUTE(SUBSTITUTE(E362,"TRESEMME","Tresemme"),"HEAD &amp; SHOULDERS","Head &amp; Shoulders"),"ELVIVE","Elvive"),"FRUCTIS","Fructis")))</f>
        <v/>
      </c>
      <c r="R362" s="8">
        <f>COUNTIF($D$2:$D$10000,D362)&gt;1</f>
        <v/>
      </c>
      <c r="S362" s="8">
        <f>IF(H362=TRUE,"Disponible","No disponible")</f>
        <v/>
      </c>
      <c r="T362" s="8">
        <f>IF(AND(ISNUMBER(I362),I362&gt;0),ROUND(F362/I362,2),"Sin volumen")</f>
        <v/>
      </c>
      <c r="U362" s="8">
        <f>IF(F362&lt;5000,"Bajo",IF(F362&lt;15000,"Medio","Alto"))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TRIM(CLEAN(PROPER(D364)))</f>
        <v/>
      </c>
      <c r="Q364" s="8">
        <f>PROPER(TRIM(SUBSTITUTE(SUBSTITUTE(SUBSTITUTE(SUBSTITUTE(E364,"TRESEMME","Tresemme"),"HEAD &amp; SHOULDERS","Head &amp; Shoulders"),"ELVIVE","Elvive"),"FRUCTIS","Fructis")))</f>
        <v/>
      </c>
      <c r="R364" s="8">
        <f>COUNTIF($D$2:$D$10000,D364)&gt;1</f>
        <v/>
      </c>
      <c r="S364" s="8">
        <f>IF(H364=TRUE,"Disponible","No disponible")</f>
        <v/>
      </c>
      <c r="T364" s="8">
        <f>IF(AND(ISNUMBER(I364),I364&gt;0),ROUND(F364/I364,2),"Sin volumen")</f>
        <v/>
      </c>
      <c r="U364" s="8">
        <f>IF(F364&lt;5000,"Bajo",IF(F364&lt;15000,"Medio","Alto"))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TRIM(CLEAN(PROPER(D366)))</f>
        <v/>
      </c>
      <c r="Q366" s="8">
        <f>PROPER(TRIM(SUBSTITUTE(SUBSTITUTE(SUBSTITUTE(SUBSTITUTE(E366,"TRESEMME","Tresemme"),"HEAD &amp; SHOULDERS","Head &amp; Shoulders"),"ELVIVE","Elvive"),"FRUCTIS","Fructis")))</f>
        <v/>
      </c>
      <c r="R366" s="8">
        <f>COUNTIF($D$2:$D$10000,D366)&gt;1</f>
        <v/>
      </c>
      <c r="S366" s="8">
        <f>IF(H366=TRUE,"Disponible","No disponible")</f>
        <v/>
      </c>
      <c r="T366" s="8">
        <f>IF(AND(ISNUMBER(I366),I366&gt;0),ROUND(F366/I366,2),"Sin volumen")</f>
        <v/>
      </c>
      <c r="U366" s="8">
        <f>IF(F366&lt;5000,"Bajo",IF(F366&lt;15000,"Medio","Alto"))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TRIM(CLEAN(PROPER(D368)))</f>
        <v/>
      </c>
      <c r="Q368" s="8">
        <f>PROPER(TRIM(SUBSTITUTE(SUBSTITUTE(SUBSTITUTE(SUBSTITUTE(E368,"TRESEMME","Tresemme"),"HEAD &amp; SHOULDERS","Head &amp; Shoulders"),"ELVIVE","Elvive"),"FRUCTIS","Fructis")))</f>
        <v/>
      </c>
      <c r="R368" s="8">
        <f>COUNTIF($D$2:$D$10000,D368)&gt;1</f>
        <v/>
      </c>
      <c r="S368" s="8">
        <f>IF(H368=TRUE,"Disponible","No disponible")</f>
        <v/>
      </c>
      <c r="T368" s="8">
        <f>IF(AND(ISNUMBER(I368),I368&gt;0),ROUND(F368/I368,2),"Sin volumen")</f>
        <v/>
      </c>
      <c r="U368" s="8">
        <f>IF(F368&lt;5000,"Bajo",IF(F368&lt;15000,"Medio","Alto"))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TRIM(CLEAN(PROPER(D370)))</f>
        <v/>
      </c>
      <c r="Q370" s="8">
        <f>PROPER(TRIM(SUBSTITUTE(SUBSTITUTE(SUBSTITUTE(SUBSTITUTE(E370,"TRESEMME","Tresemme"),"HEAD &amp; SHOULDERS","Head &amp; Shoulders"),"ELVIVE","Elvive"),"FRUCTIS","Fructis")))</f>
        <v/>
      </c>
      <c r="R370" s="8">
        <f>COUNTIF($D$2:$D$10000,D370)&gt;1</f>
        <v/>
      </c>
      <c r="S370" s="8">
        <f>IF(H370=TRUE,"Disponible","No disponible")</f>
        <v/>
      </c>
      <c r="T370" s="8">
        <f>IF(AND(ISNUMBER(I370),I370&gt;0),ROUND(F370/I370,2),"Sin volumen")</f>
        <v/>
      </c>
      <c r="U370" s="8">
        <f>IF(F370&lt;5000,"Bajo",IF(F370&lt;15000,"Medio","Alto"))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TRIM(CLEAN(PROPER(D372)))</f>
        <v/>
      </c>
      <c r="Q372" s="8">
        <f>PROPER(TRIM(SUBSTITUTE(SUBSTITUTE(SUBSTITUTE(SUBSTITUTE(E372,"TRESEMME","Tresemme"),"HEAD &amp; SHOULDERS","Head &amp; Shoulders"),"ELVIVE","Elvive"),"FRUCTIS","Fructis")))</f>
        <v/>
      </c>
      <c r="R372" s="8">
        <f>COUNTIF($D$2:$D$10000,D372)&gt;1</f>
        <v/>
      </c>
      <c r="S372" s="8">
        <f>IF(H372=TRUE,"Disponible","No disponible")</f>
        <v/>
      </c>
      <c r="T372" s="8">
        <f>IF(AND(ISNUMBER(I372),I372&gt;0),ROUND(F372/I372,2),"Sin volumen")</f>
        <v/>
      </c>
      <c r="U372" s="8">
        <f>IF(F372&lt;5000,"Bajo",IF(F372&lt;15000,"Medio","Alto"))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TRIM(CLEAN(PROPER(D374)))</f>
        <v/>
      </c>
      <c r="Q374" s="8">
        <f>PROPER(TRIM(SUBSTITUTE(SUBSTITUTE(SUBSTITUTE(SUBSTITUTE(E374,"TRESEMME","Tresemme"),"HEAD &amp; SHOULDERS","Head &amp; Shoulders"),"ELVIVE","Elvive"),"FRUCTIS","Fructis")))</f>
        <v/>
      </c>
      <c r="R374" s="8">
        <f>COUNTIF($D$2:$D$10000,D374)&gt;1</f>
        <v/>
      </c>
      <c r="S374" s="8">
        <f>IF(H374=TRUE,"Disponible","No disponible")</f>
        <v/>
      </c>
      <c r="T374" s="8">
        <f>IF(AND(ISNUMBER(I374),I374&gt;0),ROUND(F374/I374,2),"Sin volumen")</f>
        <v/>
      </c>
      <c r="U374" s="8">
        <f>IF(F374&lt;5000,"Bajo",IF(F374&lt;15000,"Medio","Alto"))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TRIM(CLEAN(PROPER(D376)))</f>
        <v/>
      </c>
      <c r="Q376" s="8">
        <f>PROPER(TRIM(SUBSTITUTE(SUBSTITUTE(SUBSTITUTE(SUBSTITUTE(E376,"TRESEMME","Tresemme"),"HEAD &amp; SHOULDERS","Head &amp; Shoulders"),"ELVIVE","Elvive"),"FRUCTIS","Fructis")))</f>
        <v/>
      </c>
      <c r="R376" s="8">
        <f>COUNTIF($D$2:$D$10000,D376)&gt;1</f>
        <v/>
      </c>
      <c r="S376" s="8">
        <f>IF(H376=TRUE,"Disponible","No disponible")</f>
        <v/>
      </c>
      <c r="T376" s="8">
        <f>IF(AND(ISNUMBER(I376),I376&gt;0),ROUND(F376/I376,2),"Sin volumen")</f>
        <v/>
      </c>
      <c r="U376" s="8">
        <f>IF(F376&lt;5000,"Bajo",IF(F376&lt;15000,"Medio","Alto"))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TRIM(CLEAN(PROPER(D378)))</f>
        <v/>
      </c>
      <c r="Q378" s="8">
        <f>PROPER(TRIM(SUBSTITUTE(SUBSTITUTE(SUBSTITUTE(SUBSTITUTE(E378,"TRESEMME","Tresemme"),"HEAD &amp; SHOULDERS","Head &amp; Shoulders"),"ELVIVE","Elvive"),"FRUCTIS","Fructis")))</f>
        <v/>
      </c>
      <c r="R378" s="8">
        <f>COUNTIF($D$2:$D$10000,D378)&gt;1</f>
        <v/>
      </c>
      <c r="S378" s="8">
        <f>IF(H378=TRUE,"Disponible","No disponible")</f>
        <v/>
      </c>
      <c r="T378" s="8">
        <f>IF(AND(ISNUMBER(I378),I378&gt;0),ROUND(F378/I378,2),"Sin volumen")</f>
        <v/>
      </c>
      <c r="U378" s="8">
        <f>IF(F378&lt;5000,"Bajo",IF(F378&lt;15000,"Medio","Alto"))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TRIM(CLEAN(PROPER(D380)))</f>
        <v/>
      </c>
      <c r="Q380" s="8">
        <f>PROPER(TRIM(SUBSTITUTE(SUBSTITUTE(SUBSTITUTE(SUBSTITUTE(E380,"TRESEMME","Tresemme"),"HEAD &amp; SHOULDERS","Head &amp; Shoulders"),"ELVIVE","Elvive"),"FRUCTIS","Fructis")))</f>
        <v/>
      </c>
      <c r="R380" s="8">
        <f>COUNTIF($D$2:$D$10000,D380)&gt;1</f>
        <v/>
      </c>
      <c r="S380" s="8">
        <f>IF(H380=TRUE,"Disponible","No disponible")</f>
        <v/>
      </c>
      <c r="T380" s="8">
        <f>IF(AND(ISNUMBER(I380),I380&gt;0),ROUND(F380/I380,2),"Sin volumen")</f>
        <v/>
      </c>
      <c r="U380" s="8">
        <f>IF(F380&lt;5000,"Bajo",IF(F380&lt;15000,"Medio","Alto"))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TRIM(CLEAN(PROPER(D382)))</f>
        <v/>
      </c>
      <c r="Q382" s="8">
        <f>PROPER(TRIM(SUBSTITUTE(SUBSTITUTE(SUBSTITUTE(SUBSTITUTE(E382,"TRESEMME","Tresemme"),"HEAD &amp; SHOULDERS","Head &amp; Shoulders"),"ELVIVE","Elvive"),"FRUCTIS","Fructis")))</f>
        <v/>
      </c>
      <c r="R382" s="8">
        <f>COUNTIF($D$2:$D$10000,D382)&gt;1</f>
        <v/>
      </c>
      <c r="S382" s="8">
        <f>IF(H382=TRUE,"Disponible","No disponible")</f>
        <v/>
      </c>
      <c r="T382" s="8">
        <f>IF(AND(ISNUMBER(I382),I382&gt;0),ROUND(F382/I382,2),"Sin volumen")</f>
        <v/>
      </c>
      <c r="U382" s="8">
        <f>IF(F382&lt;5000,"Bajo",IF(F382&lt;15000,"Medio","Alto"))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TRIM(CLEAN(PROPER(D384)))</f>
        <v/>
      </c>
      <c r="Q384" s="8">
        <f>PROPER(TRIM(SUBSTITUTE(SUBSTITUTE(SUBSTITUTE(SUBSTITUTE(E384,"TRESEMME","Tresemme"),"HEAD &amp; SHOULDERS","Head &amp; Shoulders"),"ELVIVE","Elvive"),"FRUCTIS","Fructis")))</f>
        <v/>
      </c>
      <c r="R384" s="8">
        <f>COUNTIF($D$2:$D$10000,D384)&gt;1</f>
        <v/>
      </c>
      <c r="S384" s="8">
        <f>IF(H384=TRUE,"Disponible","No disponible")</f>
        <v/>
      </c>
      <c r="T384" s="8">
        <f>IF(AND(ISNUMBER(I384),I384&gt;0),ROUND(F384/I384,2),"Sin volumen")</f>
        <v/>
      </c>
      <c r="U384" s="8">
        <f>IF(F384&lt;5000,"Bajo",IF(F384&lt;15000,"Medio","Alto"))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TRIM(CLEAN(PROPER(D386)))</f>
        <v/>
      </c>
      <c r="Q386" s="8">
        <f>PROPER(TRIM(SUBSTITUTE(SUBSTITUTE(SUBSTITUTE(SUBSTITUTE(E386,"TRESEMME","Tresemme"),"HEAD &amp; SHOULDERS","Head &amp; Shoulders"),"ELVIVE","Elvive"),"FRUCTIS","Fructis")))</f>
        <v/>
      </c>
      <c r="R386" s="8">
        <f>COUNTIF($D$2:$D$10000,D386)&gt;1</f>
        <v/>
      </c>
      <c r="S386" s="8">
        <f>IF(H386=TRUE,"Disponible","No disponible")</f>
        <v/>
      </c>
      <c r="T386" s="8">
        <f>IF(AND(ISNUMBER(I386),I386&gt;0),ROUND(F386/I386,2),"Sin volumen")</f>
        <v/>
      </c>
      <c r="U386" s="8">
        <f>IF(F386&lt;5000,"Bajo",IF(F386&lt;15000,"Medio","Alto"))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TRIM(CLEAN(PROPER(D388)))</f>
        <v/>
      </c>
      <c r="Q388" s="8">
        <f>PROPER(TRIM(SUBSTITUTE(SUBSTITUTE(SUBSTITUTE(SUBSTITUTE(E388,"TRESEMME","Tresemme"),"HEAD &amp; SHOULDERS","Head &amp; Shoulders"),"ELVIVE","Elvive"),"FRUCTIS","Fructis")))</f>
        <v/>
      </c>
      <c r="R388" s="8">
        <f>COUNTIF($D$2:$D$10000,D388)&gt;1</f>
        <v/>
      </c>
      <c r="S388" s="8">
        <f>IF(H388=TRUE,"Disponible","No disponible")</f>
        <v/>
      </c>
      <c r="T388" s="8">
        <f>IF(AND(ISNUMBER(I388),I388&gt;0),ROUND(F388/I388,2),"Sin volumen")</f>
        <v/>
      </c>
      <c r="U388" s="8">
        <f>IF(F388&lt;5000,"Bajo",IF(F388&lt;15000,"Medio","Alto"))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TRIM(CLEAN(PROPER(D390)))</f>
        <v/>
      </c>
      <c r="Q390" s="8">
        <f>PROPER(TRIM(SUBSTITUTE(SUBSTITUTE(SUBSTITUTE(SUBSTITUTE(E390,"TRESEMME","Tresemme"),"HEAD &amp; SHOULDERS","Head &amp; Shoulders"),"ELVIVE","Elvive"),"FRUCTIS","Fructis")))</f>
        <v/>
      </c>
      <c r="R390" s="8">
        <f>COUNTIF($D$2:$D$10000,D390)&gt;1</f>
        <v/>
      </c>
      <c r="S390" s="8">
        <f>IF(H390=TRUE,"Disponible","No disponible")</f>
        <v/>
      </c>
      <c r="T390" s="8">
        <f>IF(AND(ISNUMBER(I390),I390&gt;0),ROUND(F390/I390,2),"Sin volumen")</f>
        <v/>
      </c>
      <c r="U390" s="8">
        <f>IF(F390&lt;5000,"Bajo",IF(F390&lt;15000,"Medio","Alto"))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TRIM(CLEAN(PROPER(D392)))</f>
        <v/>
      </c>
      <c r="Q392" s="8">
        <f>PROPER(TRIM(SUBSTITUTE(SUBSTITUTE(SUBSTITUTE(SUBSTITUTE(E392,"TRESEMME","Tresemme"),"HEAD &amp; SHOULDERS","Head &amp; Shoulders"),"ELVIVE","Elvive"),"FRUCTIS","Fructis")))</f>
        <v/>
      </c>
      <c r="R392" s="8">
        <f>COUNTIF($D$2:$D$10000,D392)&gt;1</f>
        <v/>
      </c>
      <c r="S392" s="8">
        <f>IF(H392=TRUE,"Disponible","No disponible")</f>
        <v/>
      </c>
      <c r="T392" s="8">
        <f>IF(AND(ISNUMBER(I392),I392&gt;0),ROUND(F392/I392,2),"Sin volumen")</f>
        <v/>
      </c>
      <c r="U392" s="8">
        <f>IF(F392&lt;5000,"Bajo",IF(F392&lt;15000,"Medio","Alto"))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TRIM(CLEAN(PROPER(D394)))</f>
        <v/>
      </c>
      <c r="Q394" s="8">
        <f>PROPER(TRIM(SUBSTITUTE(SUBSTITUTE(SUBSTITUTE(SUBSTITUTE(E394,"TRESEMME","Tresemme"),"HEAD &amp; SHOULDERS","Head &amp; Shoulders"),"ELVIVE","Elvive"),"FRUCTIS","Fructis")))</f>
        <v/>
      </c>
      <c r="R394" s="8">
        <f>COUNTIF($D$2:$D$10000,D394)&gt;1</f>
        <v/>
      </c>
      <c r="S394" s="8">
        <f>IF(H394=TRUE,"Disponible","No disponible")</f>
        <v/>
      </c>
      <c r="T394" s="8">
        <f>IF(AND(ISNUMBER(I394),I394&gt;0),ROUND(F394/I394,2),"Sin volumen")</f>
        <v/>
      </c>
      <c r="U394" s="8">
        <f>IF(F394&lt;5000,"Bajo",IF(F394&lt;15000,"Medio","Alto"))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TRIM(CLEAN(PROPER(D395)))</f>
        <v/>
      </c>
      <c r="Q395">
        <f>PROPER(TRIM(SUBSTITUTE(SUBSTITUTE(SUBSTITUTE(SUBSTITUTE(E395,"TRESEMME","Tresemme"),"HEAD &amp; SHOULDERS","Head &amp; Shoulders"),"ELVIVE","Elvive"),"FRUCTIS","Fructis")))</f>
        <v/>
      </c>
      <c r="R395">
        <f>COUNTIF($D$2:$D$10000,D395)&gt;1</f>
        <v/>
      </c>
      <c r="S395">
        <f>IF(H395=TRUE,"Disponible","No disponible")</f>
        <v/>
      </c>
      <c r="T395">
        <f>IF(AND(ISNUMBER(I395),I395&gt;0),ROUND(F395/I395,2),"Sin volumen")</f>
        <v/>
      </c>
      <c r="U395">
        <f>IF(F395&lt;5000,"Bajo",IF(F395&lt;15000,"Medio","Alto"))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TRIM(CLEAN(PROPER(D396)))</f>
        <v/>
      </c>
      <c r="Q396" s="8">
        <f>PROPER(TRIM(SUBSTITUTE(SUBSTITUTE(SUBSTITUTE(SUBSTITUTE(E396,"TRESEMME","Tresemme"),"HEAD &amp; SHOULDERS","Head &amp; Shoulders"),"ELVIVE","Elvive"),"FRUCTIS","Fructis")))</f>
        <v/>
      </c>
      <c r="R396" s="8">
        <f>COUNTIF($D$2:$D$10000,D396)&gt;1</f>
        <v/>
      </c>
      <c r="S396" s="8">
        <f>IF(H396=TRUE,"Disponible","No disponible")</f>
        <v/>
      </c>
      <c r="T396" s="8">
        <f>IF(AND(ISNUMBER(I396),I396&gt;0),ROUND(F396/I396,2),"Sin volumen")</f>
        <v/>
      </c>
      <c r="U396" s="8">
        <f>IF(F396&lt;5000,"Bajo",IF(F396&lt;15000,"Medio","Alto"))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TRIM(CLEAN(PROPER(D397)))</f>
        <v/>
      </c>
      <c r="Q397">
        <f>PROPER(TRIM(SUBSTITUTE(SUBSTITUTE(SUBSTITUTE(SUBSTITUTE(E397,"TRESEMME","Tresemme"),"HEAD &amp; SHOULDERS","Head &amp; Shoulders"),"ELVIVE","Elvive"),"FRUCTIS","Fructis")))</f>
        <v/>
      </c>
      <c r="R397">
        <f>COUNTIF($D$2:$D$10000,D397)&gt;1</f>
        <v/>
      </c>
      <c r="S397">
        <f>IF(H397=TRUE,"Disponible","No disponible")</f>
        <v/>
      </c>
      <c r="T397">
        <f>IF(AND(ISNUMBER(I397),I397&gt;0),ROUND(F397/I397,2),"Sin volumen")</f>
        <v/>
      </c>
      <c r="U397">
        <f>IF(F397&lt;5000,"Bajo",IF(F397&lt;15000,"Medio","Alto"))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TRIM(CLEAN(PROPER(D398)))</f>
        <v/>
      </c>
      <c r="Q398" s="8">
        <f>PROPER(TRIM(SUBSTITUTE(SUBSTITUTE(SUBSTITUTE(SUBSTITUTE(E398,"TRESEMME","Tresemme"),"HEAD &amp; SHOULDERS","Head &amp; Shoulders"),"ELVIVE","Elvive"),"FRUCTIS","Fructis")))</f>
        <v/>
      </c>
      <c r="R398" s="8">
        <f>COUNTIF($D$2:$D$10000,D398)&gt;1</f>
        <v/>
      </c>
      <c r="S398" s="8">
        <f>IF(H398=TRUE,"Disponible","No disponible")</f>
        <v/>
      </c>
      <c r="T398" s="8">
        <f>IF(AND(ISNUMBER(I398),I398&gt;0),ROUND(F398/I398,2),"Sin volumen")</f>
        <v/>
      </c>
      <c r="U398" s="8">
        <f>IF(F398&lt;5000,"Bajo",IF(F398&lt;15000,"Medio","Alto"))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TRIM(CLEAN(PROPER(D399)))</f>
        <v/>
      </c>
      <c r="Q399">
        <f>PROPER(TRIM(SUBSTITUTE(SUBSTITUTE(SUBSTITUTE(SUBSTITUTE(E399,"TRESEMME","Tresemme"),"HEAD &amp; SHOULDERS","Head &amp; Shoulders"),"ELVIVE","Elvive"),"FRUCTIS","Fructis")))</f>
        <v/>
      </c>
      <c r="R399">
        <f>COUNTIF($D$2:$D$10000,D399)&gt;1</f>
        <v/>
      </c>
      <c r="S399">
        <f>IF(H399=TRUE,"Disponible","No disponible")</f>
        <v/>
      </c>
      <c r="T399">
        <f>IF(AND(ISNUMBER(I399),I399&gt;0),ROUND(F399/I399,2),"Sin volumen")</f>
        <v/>
      </c>
      <c r="U399">
        <f>IF(F399&lt;5000,"Bajo",IF(F399&lt;15000,"Medio","Alto"))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TRIM(CLEAN(PROPER(D400)))</f>
        <v/>
      </c>
      <c r="Q400" s="8">
        <f>PROPER(TRIM(SUBSTITUTE(SUBSTITUTE(SUBSTITUTE(SUBSTITUTE(E400,"TRESEMME","Tresemme"),"HEAD &amp; SHOULDERS","Head &amp; Shoulders"),"ELVIVE","Elvive"),"FRUCTIS","Fructis")))</f>
        <v/>
      </c>
      <c r="R400" s="8">
        <f>COUNTIF($D$2:$D$10000,D400)&gt;1</f>
        <v/>
      </c>
      <c r="S400" s="8">
        <f>IF(H400=TRUE,"Disponible","No disponible")</f>
        <v/>
      </c>
      <c r="T400" s="8">
        <f>IF(AND(ISNUMBER(I400),I400&gt;0),ROUND(F400/I400,2),"Sin volumen")</f>
        <v/>
      </c>
      <c r="U400" s="8">
        <f>IF(F400&lt;5000,"Bajo",IF(F400&lt;15000,"Medio","Alto"))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TRIM(CLEAN(PROPER(D401)))</f>
        <v/>
      </c>
      <c r="Q401">
        <f>PROPER(TRIM(SUBSTITUTE(SUBSTITUTE(SUBSTITUTE(SUBSTITUTE(E401,"TRESEMME","Tresemme"),"HEAD &amp; SHOULDERS","Head &amp; Shoulders"),"ELVIVE","Elvive"),"FRUCTIS","Fructis")))</f>
        <v/>
      </c>
      <c r="R401">
        <f>COUNTIF($D$2:$D$10000,D401)&gt;1</f>
        <v/>
      </c>
      <c r="S401">
        <f>IF(H401=TRUE,"Disponible","No disponible")</f>
        <v/>
      </c>
      <c r="T401">
        <f>IF(AND(ISNUMBER(I401),I401&gt;0),ROUND(F401/I401,2),"Sin volumen")</f>
        <v/>
      </c>
      <c r="U401">
        <f>IF(F401&lt;5000,"Bajo",IF(F401&lt;15000,"Medio","Alto"))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TRIM(CLEAN(PROPER(D402)))</f>
        <v/>
      </c>
      <c r="Q402" s="8">
        <f>PROPER(TRIM(SUBSTITUTE(SUBSTITUTE(SUBSTITUTE(SUBSTITUTE(E402,"TRESEMME","Tresemme"),"HEAD &amp; SHOULDERS","Head &amp; Shoulders"),"ELVIVE","Elvive"),"FRUCTIS","Fructis")))</f>
        <v/>
      </c>
      <c r="R402" s="8">
        <f>COUNTIF($D$2:$D$10000,D402)&gt;1</f>
        <v/>
      </c>
      <c r="S402" s="8">
        <f>IF(H402=TRUE,"Disponible","No disponible")</f>
        <v/>
      </c>
      <c r="T402" s="8">
        <f>IF(AND(ISNUMBER(I402),I402&gt;0),ROUND(F402/I402,2),"Sin volumen")</f>
        <v/>
      </c>
      <c r="U402" s="8">
        <f>IF(F402&lt;5000,"Bajo",IF(F402&lt;15000,"Medio","Alto"))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TRIM(CLEAN(PROPER(D403)))</f>
        <v/>
      </c>
      <c r="Q403">
        <f>PROPER(TRIM(SUBSTITUTE(SUBSTITUTE(SUBSTITUTE(SUBSTITUTE(E403,"TRESEMME","Tresemme"),"HEAD &amp; SHOULDERS","Head &amp; Shoulders"),"ELVIVE","Elvive"),"FRUCTIS","Fructis")))</f>
        <v/>
      </c>
      <c r="R403">
        <f>COUNTIF($D$2:$D$10000,D403)&gt;1</f>
        <v/>
      </c>
      <c r="S403">
        <f>IF(H403=TRUE,"Disponible","No disponible")</f>
        <v/>
      </c>
      <c r="T403">
        <f>IF(AND(ISNUMBER(I403),I403&gt;0),ROUND(F403/I403,2),"Sin volumen")</f>
        <v/>
      </c>
      <c r="U403">
        <f>IF(F403&lt;5000,"Bajo",IF(F403&lt;15000,"Medio","Alto"))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TRIM(CLEAN(PROPER(D404)))</f>
        <v/>
      </c>
      <c r="Q404" s="8">
        <f>PROPER(TRIM(SUBSTITUTE(SUBSTITUTE(SUBSTITUTE(SUBSTITUTE(E404,"TRESEMME","Tresemme"),"HEAD &amp; SHOULDERS","Head &amp; Shoulders"),"ELVIVE","Elvive"),"FRUCTIS","Fructis")))</f>
        <v/>
      </c>
      <c r="R404" s="8">
        <f>COUNTIF($D$2:$D$10000,D404)&gt;1</f>
        <v/>
      </c>
      <c r="S404" s="8">
        <f>IF(H404=TRUE,"Disponible","No disponible")</f>
        <v/>
      </c>
      <c r="T404" s="8">
        <f>IF(AND(ISNUMBER(I404),I404&gt;0),ROUND(F404/I404,2),"Sin volumen")</f>
        <v/>
      </c>
      <c r="U404" s="8">
        <f>IF(F404&lt;5000,"Bajo",IF(F404&lt;15000,"Medio","Alto"))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TRIM(CLEAN(PROPER(D405)))</f>
        <v/>
      </c>
      <c r="Q405">
        <f>PROPER(TRIM(SUBSTITUTE(SUBSTITUTE(SUBSTITUTE(SUBSTITUTE(E405,"TRESEMME","Tresemme"),"HEAD &amp; SHOULDERS","Head &amp; Shoulders"),"ELVIVE","Elvive"),"FRUCTIS","Fructis")))</f>
        <v/>
      </c>
      <c r="R405">
        <f>COUNTIF($D$2:$D$10000,D405)&gt;1</f>
        <v/>
      </c>
      <c r="S405">
        <f>IF(H405=TRUE,"Disponible","No disponible")</f>
        <v/>
      </c>
      <c r="T405">
        <f>IF(AND(ISNUMBER(I405),I405&gt;0),ROUND(F405/I405,2),"Sin volumen")</f>
        <v/>
      </c>
      <c r="U405">
        <f>IF(F405&lt;5000,"Bajo",IF(F405&lt;15000,"Medio","Alto"))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TRIM(CLEAN(PROPER(D406)))</f>
        <v/>
      </c>
      <c r="Q406" s="8">
        <f>PROPER(TRIM(SUBSTITUTE(SUBSTITUTE(SUBSTITUTE(SUBSTITUTE(E406,"TRESEMME","Tresemme"),"HEAD &amp; SHOULDERS","Head &amp; Shoulders"),"ELVIVE","Elvive"),"FRUCTIS","Fructis")))</f>
        <v/>
      </c>
      <c r="R406" s="8">
        <f>COUNTIF($D$2:$D$10000,D406)&gt;1</f>
        <v/>
      </c>
      <c r="S406" s="8">
        <f>IF(H406=TRUE,"Disponible","No disponible")</f>
        <v/>
      </c>
      <c r="T406" s="8">
        <f>IF(AND(ISNUMBER(I406),I406&gt;0),ROUND(F406/I406,2),"Sin volumen")</f>
        <v/>
      </c>
      <c r="U406" s="8">
        <f>IF(F406&lt;5000,"Bajo",IF(F406&lt;15000,"Medio","Alto"))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TRIM(CLEAN(PROPER(D407)))</f>
        <v/>
      </c>
      <c r="Q407">
        <f>PROPER(TRIM(SUBSTITUTE(SUBSTITUTE(SUBSTITUTE(SUBSTITUTE(E407,"TRESEMME","Tresemme"),"HEAD &amp; SHOULDERS","Head &amp; Shoulders"),"ELVIVE","Elvive"),"FRUCTIS","Fructis")))</f>
        <v/>
      </c>
      <c r="R407">
        <f>COUNTIF($D$2:$D$10000,D407)&gt;1</f>
        <v/>
      </c>
      <c r="S407">
        <f>IF(H407=TRUE,"Disponible","No disponible")</f>
        <v/>
      </c>
      <c r="T407">
        <f>IF(AND(ISNUMBER(I407),I407&gt;0),ROUND(F407/I407,2),"Sin volumen")</f>
        <v/>
      </c>
      <c r="U407">
        <f>IF(F407&lt;5000,"Bajo",IF(F407&lt;15000,"Medio","Alto"))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TRIM(CLEAN(PROPER(D408)))</f>
        <v/>
      </c>
      <c r="Q408" s="8">
        <f>PROPER(TRIM(SUBSTITUTE(SUBSTITUTE(SUBSTITUTE(SUBSTITUTE(E408,"TRESEMME","Tresemme"),"HEAD &amp; SHOULDERS","Head &amp; Shoulders"),"ELVIVE","Elvive"),"FRUCTIS","Fructis")))</f>
        <v/>
      </c>
      <c r="R408" s="8">
        <f>COUNTIF($D$2:$D$10000,D408)&gt;1</f>
        <v/>
      </c>
      <c r="S408" s="8">
        <f>IF(H408=TRUE,"Disponible","No disponible")</f>
        <v/>
      </c>
      <c r="T408" s="8">
        <f>IF(AND(ISNUMBER(I408),I408&gt;0),ROUND(F408/I408,2),"Sin volumen")</f>
        <v/>
      </c>
      <c r="U408" s="8">
        <f>IF(F408&lt;5000,"Bajo",IF(F408&lt;15000,"Medio","Alto"))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TRIM(CLEAN(PROPER(D409)))</f>
        <v/>
      </c>
      <c r="Q409">
        <f>PROPER(TRIM(SUBSTITUTE(SUBSTITUTE(SUBSTITUTE(SUBSTITUTE(E409,"TRESEMME","Tresemme"),"HEAD &amp; SHOULDERS","Head &amp; Shoulders"),"ELVIVE","Elvive"),"FRUCTIS","Fructis")))</f>
        <v/>
      </c>
      <c r="R409">
        <f>COUNTIF($D$2:$D$10000,D409)&gt;1</f>
        <v/>
      </c>
      <c r="S409">
        <f>IF(H409=TRUE,"Disponible","No disponible")</f>
        <v/>
      </c>
      <c r="T409">
        <f>IF(AND(ISNUMBER(I409),I409&gt;0),ROUND(F409/I409,2),"Sin volumen")</f>
        <v/>
      </c>
      <c r="U409">
        <f>IF(F409&lt;5000,"Bajo",IF(F409&lt;15000,"Medio","Alto"))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TRIM(CLEAN(PROPER(D410)))</f>
        <v/>
      </c>
      <c r="Q410" s="8">
        <f>PROPER(TRIM(SUBSTITUTE(SUBSTITUTE(SUBSTITUTE(SUBSTITUTE(E410,"TRESEMME","Tresemme"),"HEAD &amp; SHOULDERS","Head &amp; Shoulders"),"ELVIVE","Elvive"),"FRUCTIS","Fructis")))</f>
        <v/>
      </c>
      <c r="R410" s="8">
        <f>COUNTIF($D$2:$D$10000,D410)&gt;1</f>
        <v/>
      </c>
      <c r="S410" s="8">
        <f>IF(H410=TRUE,"Disponible","No disponible")</f>
        <v/>
      </c>
      <c r="T410" s="8">
        <f>IF(AND(ISNUMBER(I410),I410&gt;0),ROUND(F410/I410,2),"Sin volumen")</f>
        <v/>
      </c>
      <c r="U410" s="8">
        <f>IF(F410&lt;5000,"Bajo",IF(F410&lt;15000,"Medio","Alto"))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TRIM(CLEAN(PROPER(D411)))</f>
        <v/>
      </c>
      <c r="Q411">
        <f>PROPER(TRIM(SUBSTITUTE(SUBSTITUTE(SUBSTITUTE(SUBSTITUTE(E411,"TRESEMME","Tresemme"),"HEAD &amp; SHOULDERS","Head &amp; Shoulders"),"ELVIVE","Elvive"),"FRUCTIS","Fructis")))</f>
        <v/>
      </c>
      <c r="R411">
        <f>COUNTIF($D$2:$D$10000,D411)&gt;1</f>
        <v/>
      </c>
      <c r="S411">
        <f>IF(H411=TRUE,"Disponible","No disponible")</f>
        <v/>
      </c>
      <c r="T411">
        <f>IF(AND(ISNUMBER(I411),I411&gt;0),ROUND(F411/I411,2),"Sin volumen")</f>
        <v/>
      </c>
      <c r="U411">
        <f>IF(F411&lt;5000,"Bajo",IF(F411&lt;15000,"Medio","Alto"))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TRIM(CLEAN(PROPER(D412)))</f>
        <v/>
      </c>
      <c r="Q412" s="8">
        <f>PROPER(TRIM(SUBSTITUTE(SUBSTITUTE(SUBSTITUTE(SUBSTITUTE(E412,"TRESEMME","Tresemme"),"HEAD &amp; SHOULDERS","Head &amp; Shoulders"),"ELVIVE","Elvive"),"FRUCTIS","Fructis")))</f>
        <v/>
      </c>
      <c r="R412" s="8">
        <f>COUNTIF($D$2:$D$10000,D412)&gt;1</f>
        <v/>
      </c>
      <c r="S412" s="8">
        <f>IF(H412=TRUE,"Disponible","No disponible")</f>
        <v/>
      </c>
      <c r="T412" s="8">
        <f>IF(AND(ISNUMBER(I412),I412&gt;0),ROUND(F412/I412,2),"Sin volumen")</f>
        <v/>
      </c>
      <c r="U412" s="8">
        <f>IF(F412&lt;5000,"Bajo",IF(F412&lt;15000,"Medio","Alto"))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TRIM(CLEAN(PROPER(D413)))</f>
        <v/>
      </c>
      <c r="Q413">
        <f>PROPER(TRIM(SUBSTITUTE(SUBSTITUTE(SUBSTITUTE(SUBSTITUTE(E413,"TRESEMME","Tresemme"),"HEAD &amp; SHOULDERS","Head &amp; Shoulders"),"ELVIVE","Elvive"),"FRUCTIS","Fructis")))</f>
        <v/>
      </c>
      <c r="R413">
        <f>COUNTIF($D$2:$D$10000,D413)&gt;1</f>
        <v/>
      </c>
      <c r="S413">
        <f>IF(H413=TRUE,"Disponible","No disponible")</f>
        <v/>
      </c>
      <c r="T413">
        <f>IF(AND(ISNUMBER(I413),I413&gt;0),ROUND(F413/I413,2),"Sin volumen")</f>
        <v/>
      </c>
      <c r="U413">
        <f>IF(F413&lt;5000,"Bajo",IF(F413&lt;15000,"Medio","Alto"))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TRIM(CLEAN(PROPER(D414)))</f>
        <v/>
      </c>
      <c r="Q414" s="8">
        <f>PROPER(TRIM(SUBSTITUTE(SUBSTITUTE(SUBSTITUTE(SUBSTITUTE(E414,"TRESEMME","Tresemme"),"HEAD &amp; SHOULDERS","Head &amp; Shoulders"),"ELVIVE","Elvive"),"FRUCTIS","Fructis")))</f>
        <v/>
      </c>
      <c r="R414" s="8">
        <f>COUNTIF($D$2:$D$10000,D414)&gt;1</f>
        <v/>
      </c>
      <c r="S414" s="8">
        <f>IF(H414=TRUE,"Disponible","No disponible")</f>
        <v/>
      </c>
      <c r="T414" s="8">
        <f>IF(AND(ISNUMBER(I414),I414&gt;0),ROUND(F414/I414,2),"Sin volumen")</f>
        <v/>
      </c>
      <c r="U414" s="8">
        <f>IF(F414&lt;5000,"Bajo",IF(F414&lt;15000,"Medio","Alto"))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TRIM(CLEAN(PROPER(D415)))</f>
        <v/>
      </c>
      <c r="Q415">
        <f>PROPER(TRIM(SUBSTITUTE(SUBSTITUTE(SUBSTITUTE(SUBSTITUTE(E415,"TRESEMME","Tresemme"),"HEAD &amp; SHOULDERS","Head &amp; Shoulders"),"ELVIVE","Elvive"),"FRUCTIS","Fructis")))</f>
        <v/>
      </c>
      <c r="R415">
        <f>COUNTIF($D$2:$D$10000,D415)&gt;1</f>
        <v/>
      </c>
      <c r="S415">
        <f>IF(H415=TRUE,"Disponible","No disponible")</f>
        <v/>
      </c>
      <c r="T415">
        <f>IF(AND(ISNUMBER(I415),I415&gt;0),ROUND(F415/I415,2),"Sin volumen")</f>
        <v/>
      </c>
      <c r="U415">
        <f>IF(F415&lt;5000,"Bajo",IF(F415&lt;15000,"Medio","Alto"))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TRIM(CLEAN(PROPER(D416)))</f>
        <v/>
      </c>
      <c r="Q416" s="8">
        <f>PROPER(TRIM(SUBSTITUTE(SUBSTITUTE(SUBSTITUTE(SUBSTITUTE(E416,"TRESEMME","Tresemme"),"HEAD &amp; SHOULDERS","Head &amp; Shoulders"),"ELVIVE","Elvive"),"FRUCTIS","Fructis")))</f>
        <v/>
      </c>
      <c r="R416" s="8">
        <f>COUNTIF($D$2:$D$10000,D416)&gt;1</f>
        <v/>
      </c>
      <c r="S416" s="8">
        <f>IF(H416=TRUE,"Disponible","No disponible")</f>
        <v/>
      </c>
      <c r="T416" s="8">
        <f>IF(AND(ISNUMBER(I416),I416&gt;0),ROUND(F416/I416,2),"Sin volumen")</f>
        <v/>
      </c>
      <c r="U416" s="8">
        <f>IF(F416&lt;5000,"Bajo",IF(F416&lt;15000,"Medio","Alto"))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TRIM(CLEAN(PROPER(D417)))</f>
        <v/>
      </c>
      <c r="Q417">
        <f>PROPER(TRIM(SUBSTITUTE(SUBSTITUTE(SUBSTITUTE(SUBSTITUTE(E417,"TRESEMME","Tresemme"),"HEAD &amp; SHOULDERS","Head &amp; Shoulders"),"ELVIVE","Elvive"),"FRUCTIS","Fructis")))</f>
        <v/>
      </c>
      <c r="R417">
        <f>COUNTIF($D$2:$D$10000,D417)&gt;1</f>
        <v/>
      </c>
      <c r="S417">
        <f>IF(H417=TRUE,"Disponible","No disponible")</f>
        <v/>
      </c>
      <c r="T417">
        <f>IF(AND(ISNUMBER(I417),I417&gt;0),ROUND(F417/I417,2),"Sin volumen")</f>
        <v/>
      </c>
      <c r="U417">
        <f>IF(F417&lt;5000,"Bajo",IF(F417&lt;15000,"Medio","Alto"))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TRIM(CLEAN(PROPER(D418)))</f>
        <v/>
      </c>
      <c r="Q418" s="8">
        <f>PROPER(TRIM(SUBSTITUTE(SUBSTITUTE(SUBSTITUTE(SUBSTITUTE(E418,"TRESEMME","Tresemme"),"HEAD &amp; SHOULDERS","Head &amp; Shoulders"),"ELVIVE","Elvive"),"FRUCTIS","Fructis")))</f>
        <v/>
      </c>
      <c r="R418" s="8">
        <f>COUNTIF($D$2:$D$10000,D418)&gt;1</f>
        <v/>
      </c>
      <c r="S418" s="8">
        <f>IF(H418=TRUE,"Disponible","No disponible")</f>
        <v/>
      </c>
      <c r="T418" s="8">
        <f>IF(AND(ISNUMBER(I418),I418&gt;0),ROUND(F418/I418,2),"Sin volumen")</f>
        <v/>
      </c>
      <c r="U418" s="8">
        <f>IF(F418&lt;5000,"Bajo",IF(F418&lt;15000,"Medio","Alto"))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TRIM(CLEAN(PROPER(D419)))</f>
        <v/>
      </c>
      <c r="Q419">
        <f>PROPER(TRIM(SUBSTITUTE(SUBSTITUTE(SUBSTITUTE(SUBSTITUTE(E419,"TRESEMME","Tresemme"),"HEAD &amp; SHOULDERS","Head &amp; Shoulders"),"ELVIVE","Elvive"),"FRUCTIS","Fructis")))</f>
        <v/>
      </c>
      <c r="R419">
        <f>COUNTIF($D$2:$D$10000,D419)&gt;1</f>
        <v/>
      </c>
      <c r="S419">
        <f>IF(H419=TRUE,"Disponible","No disponible")</f>
        <v/>
      </c>
      <c r="T419">
        <f>IF(AND(ISNUMBER(I419),I419&gt;0),ROUND(F419/I419,2),"Sin volumen")</f>
        <v/>
      </c>
      <c r="U419">
        <f>IF(F419&lt;5000,"Bajo",IF(F419&lt;15000,"Medio","Alto"))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TRIM(CLEAN(PROPER(D420)))</f>
        <v/>
      </c>
      <c r="Q420" s="8">
        <f>PROPER(TRIM(SUBSTITUTE(SUBSTITUTE(SUBSTITUTE(SUBSTITUTE(E420,"TRESEMME","Tresemme"),"HEAD &amp; SHOULDERS","Head &amp; Shoulders"),"ELVIVE","Elvive"),"FRUCTIS","Fructis")))</f>
        <v/>
      </c>
      <c r="R420" s="8">
        <f>COUNTIF($D$2:$D$10000,D420)&gt;1</f>
        <v/>
      </c>
      <c r="S420" s="8">
        <f>IF(H420=TRUE,"Disponible","No disponible")</f>
        <v/>
      </c>
      <c r="T420" s="8">
        <f>IF(AND(ISNUMBER(I420),I420&gt;0),ROUND(F420/I420,2),"Sin volumen")</f>
        <v/>
      </c>
      <c r="U420" s="8">
        <f>IF(F420&lt;5000,"Bajo",IF(F420&lt;15000,"Medio","Alto"))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TRIM(CLEAN(PROPER(D421)))</f>
        <v/>
      </c>
      <c r="Q421">
        <f>PROPER(TRIM(SUBSTITUTE(SUBSTITUTE(SUBSTITUTE(SUBSTITUTE(E421,"TRESEMME","Tresemme"),"HEAD &amp; SHOULDERS","Head &amp; Shoulders"),"ELVIVE","Elvive"),"FRUCTIS","Fructis")))</f>
        <v/>
      </c>
      <c r="R421">
        <f>COUNTIF($D$2:$D$10000,D421)&gt;1</f>
        <v/>
      </c>
      <c r="S421">
        <f>IF(H421=TRUE,"Disponible","No disponible")</f>
        <v/>
      </c>
      <c r="T421">
        <f>IF(AND(ISNUMBER(I421),I421&gt;0),ROUND(F421/I421,2),"Sin volumen")</f>
        <v/>
      </c>
      <c r="U421">
        <f>IF(F421&lt;5000,"Bajo",IF(F421&lt;15000,"Medio","Alto"))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TRIM(CLEAN(PROPER(D422)))</f>
        <v/>
      </c>
      <c r="Q422" s="8">
        <f>PROPER(TRIM(SUBSTITUTE(SUBSTITUTE(SUBSTITUTE(SUBSTITUTE(E422,"TRESEMME","Tresemme"),"HEAD &amp; SHOULDERS","Head &amp; Shoulders"),"ELVIVE","Elvive"),"FRUCTIS","Fructis")))</f>
        <v/>
      </c>
      <c r="R422" s="8">
        <f>COUNTIF($D$2:$D$10000,D422)&gt;1</f>
        <v/>
      </c>
      <c r="S422" s="8">
        <f>IF(H422=TRUE,"Disponible","No disponible")</f>
        <v/>
      </c>
      <c r="T422" s="8">
        <f>IF(AND(ISNUMBER(I422),I422&gt;0),ROUND(F422/I422,2),"Sin volumen")</f>
        <v/>
      </c>
      <c r="U422" s="8">
        <f>IF(F422&lt;5000,"Bajo",IF(F422&lt;15000,"Medio","Alto"))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TRIM(CLEAN(PROPER(D423)))</f>
        <v/>
      </c>
      <c r="Q423">
        <f>PROPER(TRIM(SUBSTITUTE(SUBSTITUTE(SUBSTITUTE(SUBSTITUTE(E423,"TRESEMME","Tresemme"),"HEAD &amp; SHOULDERS","Head &amp; Shoulders"),"ELVIVE","Elvive"),"FRUCTIS","Fructis")))</f>
        <v/>
      </c>
      <c r="R423">
        <f>COUNTIF($D$2:$D$10000,D423)&gt;1</f>
        <v/>
      </c>
      <c r="S423">
        <f>IF(H423=TRUE,"Disponible","No disponible")</f>
        <v/>
      </c>
      <c r="T423">
        <f>IF(AND(ISNUMBER(I423),I423&gt;0),ROUND(F423/I423,2),"Sin volumen")</f>
        <v/>
      </c>
      <c r="U423">
        <f>IF(F423&lt;5000,"Bajo",IF(F423&lt;15000,"Medio","Alto"))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TRIM(CLEAN(PROPER(D424)))</f>
        <v/>
      </c>
      <c r="Q424" s="8">
        <f>PROPER(TRIM(SUBSTITUTE(SUBSTITUTE(SUBSTITUTE(SUBSTITUTE(E424,"TRESEMME","Tresemme"),"HEAD &amp; SHOULDERS","Head &amp; Shoulders"),"ELVIVE","Elvive"),"FRUCTIS","Fructis")))</f>
        <v/>
      </c>
      <c r="R424" s="8">
        <f>COUNTIF($D$2:$D$10000,D424)&gt;1</f>
        <v/>
      </c>
      <c r="S424" s="8">
        <f>IF(H424=TRUE,"Disponible","No disponible")</f>
        <v/>
      </c>
      <c r="T424" s="8">
        <f>IF(AND(ISNUMBER(I424),I424&gt;0),ROUND(F424/I424,2),"Sin volumen")</f>
        <v/>
      </c>
      <c r="U424" s="8">
        <f>IF(F424&lt;5000,"Bajo",IF(F424&lt;15000,"Medio","Alto"))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TRIM(CLEAN(PROPER(D425)))</f>
        <v/>
      </c>
      <c r="Q425">
        <f>PROPER(TRIM(SUBSTITUTE(SUBSTITUTE(SUBSTITUTE(SUBSTITUTE(E425,"TRESEMME","Tresemme"),"HEAD &amp; SHOULDERS","Head &amp; Shoulders"),"ELVIVE","Elvive"),"FRUCTIS","Fructis")))</f>
        <v/>
      </c>
      <c r="R425">
        <f>COUNTIF($D$2:$D$10000,D425)&gt;1</f>
        <v/>
      </c>
      <c r="S425">
        <f>IF(H425=TRUE,"Disponible","No disponible")</f>
        <v/>
      </c>
      <c r="T425">
        <f>IF(AND(ISNUMBER(I425),I425&gt;0),ROUND(F425/I425,2),"Sin volumen")</f>
        <v/>
      </c>
      <c r="U425">
        <f>IF(F425&lt;5000,"Bajo",IF(F425&lt;15000,"Medio","Alto"))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TRIM(CLEAN(PROPER(D426)))</f>
        <v/>
      </c>
      <c r="Q426" s="8">
        <f>PROPER(TRIM(SUBSTITUTE(SUBSTITUTE(SUBSTITUTE(SUBSTITUTE(E426,"TRESEMME","Tresemme"),"HEAD &amp; SHOULDERS","Head &amp; Shoulders"),"ELVIVE","Elvive"),"FRUCTIS","Fructis")))</f>
        <v/>
      </c>
      <c r="R426" s="8">
        <f>COUNTIF($D$2:$D$10000,D426)&gt;1</f>
        <v/>
      </c>
      <c r="S426" s="8">
        <f>IF(H426=TRUE,"Disponible","No disponible")</f>
        <v/>
      </c>
      <c r="T426" s="8">
        <f>IF(AND(ISNUMBER(I426),I426&gt;0),ROUND(F426/I426,2),"Sin volumen")</f>
        <v/>
      </c>
      <c r="U426" s="8">
        <f>IF(F426&lt;5000,"Bajo",IF(F426&lt;15000,"Medio","Alto"))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TRIM(CLEAN(PROPER(D427)))</f>
        <v/>
      </c>
      <c r="Q427">
        <f>PROPER(TRIM(SUBSTITUTE(SUBSTITUTE(SUBSTITUTE(SUBSTITUTE(E427,"TRESEMME","Tresemme"),"HEAD &amp; SHOULDERS","Head &amp; Shoulders"),"ELVIVE","Elvive"),"FRUCTIS","Fructis")))</f>
        <v/>
      </c>
      <c r="R427">
        <f>COUNTIF($D$2:$D$10000,D427)&gt;1</f>
        <v/>
      </c>
      <c r="S427">
        <f>IF(H427=TRUE,"Disponible","No disponible")</f>
        <v/>
      </c>
      <c r="T427">
        <f>IF(AND(ISNUMBER(I427),I427&gt;0),ROUND(F427/I427,2),"Sin volumen")</f>
        <v/>
      </c>
      <c r="U427">
        <f>IF(F427&lt;5000,"Bajo",IF(F427&lt;15000,"Medio","Alto"))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TRIM(CLEAN(PROPER(D428)))</f>
        <v/>
      </c>
      <c r="Q428" s="8">
        <f>PROPER(TRIM(SUBSTITUTE(SUBSTITUTE(SUBSTITUTE(SUBSTITUTE(E428,"TRESEMME","Tresemme"),"HEAD &amp; SHOULDERS","Head &amp; Shoulders"),"ELVIVE","Elvive"),"FRUCTIS","Fructis")))</f>
        <v/>
      </c>
      <c r="R428" s="8">
        <f>COUNTIF($D$2:$D$10000,D428)&gt;1</f>
        <v/>
      </c>
      <c r="S428" s="8">
        <f>IF(H428=TRUE,"Disponible","No disponible")</f>
        <v/>
      </c>
      <c r="T428" s="8">
        <f>IF(AND(ISNUMBER(I428),I428&gt;0),ROUND(F428/I428,2),"Sin volumen")</f>
        <v/>
      </c>
      <c r="U428" s="8">
        <f>IF(F428&lt;5000,"Bajo",IF(F428&lt;15000,"Medio","Alto"))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TRIM(CLEAN(PROPER(D429)))</f>
        <v/>
      </c>
      <c r="Q429">
        <f>PROPER(TRIM(SUBSTITUTE(SUBSTITUTE(SUBSTITUTE(SUBSTITUTE(E429,"TRESEMME","Tresemme"),"HEAD &amp; SHOULDERS","Head &amp; Shoulders"),"ELVIVE","Elvive"),"FRUCTIS","Fructis")))</f>
        <v/>
      </c>
      <c r="R429">
        <f>COUNTIF($D$2:$D$10000,D429)&gt;1</f>
        <v/>
      </c>
      <c r="S429">
        <f>IF(H429=TRUE,"Disponible","No disponible")</f>
        <v/>
      </c>
      <c r="T429">
        <f>IF(AND(ISNUMBER(I429),I429&gt;0),ROUND(F429/I429,2),"Sin volumen")</f>
        <v/>
      </c>
      <c r="U429">
        <f>IF(F429&lt;5000,"Bajo",IF(F429&lt;15000,"Medio","Alto"))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TRIM(CLEAN(PROPER(D430)))</f>
        <v/>
      </c>
      <c r="Q430" s="8">
        <f>PROPER(TRIM(SUBSTITUTE(SUBSTITUTE(SUBSTITUTE(SUBSTITUTE(E430,"TRESEMME","Tresemme"),"HEAD &amp; SHOULDERS","Head &amp; Shoulders"),"ELVIVE","Elvive"),"FRUCTIS","Fructis")))</f>
        <v/>
      </c>
      <c r="R430" s="8">
        <f>COUNTIF($D$2:$D$10000,D430)&gt;1</f>
        <v/>
      </c>
      <c r="S430" s="8">
        <f>IF(H430=TRUE,"Disponible","No disponible")</f>
        <v/>
      </c>
      <c r="T430" s="8">
        <f>IF(AND(ISNUMBER(I430),I430&gt;0),ROUND(F430/I430,2),"Sin volumen")</f>
        <v/>
      </c>
      <c r="U430" s="8">
        <f>IF(F430&lt;5000,"Bajo",IF(F430&lt;15000,"Medio","Alto"))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TRIM(CLEAN(PROPER(D431)))</f>
        <v/>
      </c>
      <c r="Q431">
        <f>PROPER(TRIM(SUBSTITUTE(SUBSTITUTE(SUBSTITUTE(SUBSTITUTE(E431,"TRESEMME","Tresemme"),"HEAD &amp; SHOULDERS","Head &amp; Shoulders"),"ELVIVE","Elvive"),"FRUCTIS","Fructis")))</f>
        <v/>
      </c>
      <c r="R431">
        <f>COUNTIF($D$2:$D$10000,D431)&gt;1</f>
        <v/>
      </c>
      <c r="S431">
        <f>IF(H431=TRUE,"Disponible","No disponible")</f>
        <v/>
      </c>
      <c r="T431">
        <f>IF(AND(ISNUMBER(I431),I431&gt;0),ROUND(F431/I431,2),"Sin volumen")</f>
        <v/>
      </c>
      <c r="U431">
        <f>IF(F431&lt;5000,"Bajo",IF(F431&lt;15000,"Medio","Alto"))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TRIM(CLEAN(PROPER(D432)))</f>
        <v/>
      </c>
      <c r="Q432" s="8">
        <f>PROPER(TRIM(SUBSTITUTE(SUBSTITUTE(SUBSTITUTE(SUBSTITUTE(E432,"TRESEMME","Tresemme"),"HEAD &amp; SHOULDERS","Head &amp; Shoulders"),"ELVIVE","Elvive"),"FRUCTIS","Fructis")))</f>
        <v/>
      </c>
      <c r="R432" s="8">
        <f>COUNTIF($D$2:$D$10000,D432)&gt;1</f>
        <v/>
      </c>
      <c r="S432" s="8">
        <f>IF(H432=TRUE,"Disponible","No disponible")</f>
        <v/>
      </c>
      <c r="T432" s="8">
        <f>IF(AND(ISNUMBER(I432),I432&gt;0),ROUND(F432/I432,2),"Sin volumen")</f>
        <v/>
      </c>
      <c r="U432" s="8">
        <f>IF(F432&lt;5000,"Bajo",IF(F432&lt;15000,"Medio","Alto"))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TRIM(CLEAN(PROPER(D433)))</f>
        <v/>
      </c>
      <c r="Q433">
        <f>PROPER(TRIM(SUBSTITUTE(SUBSTITUTE(SUBSTITUTE(SUBSTITUTE(E433,"TRESEMME","Tresemme"),"HEAD &amp; SHOULDERS","Head &amp; Shoulders"),"ELVIVE","Elvive"),"FRUCTIS","Fructis")))</f>
        <v/>
      </c>
      <c r="R433">
        <f>COUNTIF($D$2:$D$10000,D433)&gt;1</f>
        <v/>
      </c>
      <c r="S433">
        <f>IF(H433=TRUE,"Disponible","No disponible")</f>
        <v/>
      </c>
      <c r="T433">
        <f>IF(AND(ISNUMBER(I433),I433&gt;0),ROUND(F433/I433,2),"Sin volumen")</f>
        <v/>
      </c>
      <c r="U433">
        <f>IF(F433&lt;5000,"Bajo",IF(F433&lt;15000,"Medio","Alto"))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TRIM(CLEAN(PROPER(D434)))</f>
        <v/>
      </c>
      <c r="Q434" s="8">
        <f>PROPER(TRIM(SUBSTITUTE(SUBSTITUTE(SUBSTITUTE(SUBSTITUTE(E434,"TRESEMME","Tresemme"),"HEAD &amp; SHOULDERS","Head &amp; Shoulders"),"ELVIVE","Elvive"),"FRUCTIS","Fructis")))</f>
        <v/>
      </c>
      <c r="R434" s="8">
        <f>COUNTIF($D$2:$D$10000,D434)&gt;1</f>
        <v/>
      </c>
      <c r="S434" s="8">
        <f>IF(H434=TRUE,"Disponible","No disponible")</f>
        <v/>
      </c>
      <c r="T434" s="8">
        <f>IF(AND(ISNUMBER(I434),I434&gt;0),ROUND(F434/I434,2),"Sin volumen")</f>
        <v/>
      </c>
      <c r="U434" s="8">
        <f>IF(F434&lt;5000,"Bajo",IF(F434&lt;15000,"Medio","Alto"))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TRIM(CLEAN(PROPER(D435)))</f>
        <v/>
      </c>
      <c r="Q435">
        <f>PROPER(TRIM(SUBSTITUTE(SUBSTITUTE(SUBSTITUTE(SUBSTITUTE(E435,"TRESEMME","Tresemme"),"HEAD &amp; SHOULDERS","Head &amp; Shoulders"),"ELVIVE","Elvive"),"FRUCTIS","Fructis")))</f>
        <v/>
      </c>
      <c r="R435">
        <f>COUNTIF($D$2:$D$10000,D435)&gt;1</f>
        <v/>
      </c>
      <c r="S435">
        <f>IF(H435=TRUE,"Disponible","No disponible")</f>
        <v/>
      </c>
      <c r="T435">
        <f>IF(AND(ISNUMBER(I435),I435&gt;0),ROUND(F435/I435,2),"Sin volumen")</f>
        <v/>
      </c>
      <c r="U435">
        <f>IF(F435&lt;5000,"Bajo",IF(F435&lt;15000,"Medio","Alto"))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TRIM(CLEAN(PROPER(D436)))</f>
        <v/>
      </c>
      <c r="Q436" s="8">
        <f>PROPER(TRIM(SUBSTITUTE(SUBSTITUTE(SUBSTITUTE(SUBSTITUTE(E436,"TRESEMME","Tresemme"),"HEAD &amp; SHOULDERS","Head &amp; Shoulders"),"ELVIVE","Elvive"),"FRUCTIS","Fructis")))</f>
        <v/>
      </c>
      <c r="R436" s="8">
        <f>COUNTIF($D$2:$D$10000,D436)&gt;1</f>
        <v/>
      </c>
      <c r="S436" s="8">
        <f>IF(H436=TRUE,"Disponible","No disponible")</f>
        <v/>
      </c>
      <c r="T436" s="8">
        <f>IF(AND(ISNUMBER(I436),I436&gt;0),ROUND(F436/I436,2),"Sin volumen")</f>
        <v/>
      </c>
      <c r="U436" s="8">
        <f>IF(F436&lt;5000,"Bajo",IF(F436&lt;15000,"Medio","Alto"))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TRIM(CLEAN(PROPER(D437)))</f>
        <v/>
      </c>
      <c r="Q437">
        <f>PROPER(TRIM(SUBSTITUTE(SUBSTITUTE(SUBSTITUTE(SUBSTITUTE(E437,"TRESEMME","Tresemme"),"HEAD &amp; SHOULDERS","Head &amp; Shoulders"),"ELVIVE","Elvive"),"FRUCTIS","Fructis")))</f>
        <v/>
      </c>
      <c r="R437">
        <f>COUNTIF($D$2:$D$10000,D437)&gt;1</f>
        <v/>
      </c>
      <c r="S437">
        <f>IF(H437=TRUE,"Disponible","No disponible")</f>
        <v/>
      </c>
      <c r="T437">
        <f>IF(AND(ISNUMBER(I437),I437&gt;0),ROUND(F437/I437,2),"Sin volumen")</f>
        <v/>
      </c>
      <c r="U437">
        <f>IF(F437&lt;5000,"Bajo",IF(F437&lt;15000,"Medio","Alto"))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TRIM(CLEAN(PROPER(D438)))</f>
        <v/>
      </c>
      <c r="Q438" s="8">
        <f>PROPER(TRIM(SUBSTITUTE(SUBSTITUTE(SUBSTITUTE(SUBSTITUTE(E438,"TRESEMME","Tresemme"),"HEAD &amp; SHOULDERS","Head &amp; Shoulders"),"ELVIVE","Elvive"),"FRUCTIS","Fructis")))</f>
        <v/>
      </c>
      <c r="R438" s="8">
        <f>COUNTIF($D$2:$D$10000,D438)&gt;1</f>
        <v/>
      </c>
      <c r="S438" s="8">
        <f>IF(H438=TRUE,"Disponible","No disponible")</f>
        <v/>
      </c>
      <c r="T438" s="8">
        <f>IF(AND(ISNUMBER(I438),I438&gt;0),ROUND(F438/I438,2),"Sin volumen")</f>
        <v/>
      </c>
      <c r="U438" s="8">
        <f>IF(F438&lt;5000,"Bajo",IF(F438&lt;15000,"Medio","Alto"))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TRIM(CLEAN(PROPER(D439)))</f>
        <v/>
      </c>
      <c r="Q439">
        <f>PROPER(TRIM(SUBSTITUTE(SUBSTITUTE(SUBSTITUTE(SUBSTITUTE(E439,"TRESEMME","Tresemme"),"HEAD &amp; SHOULDERS","Head &amp; Shoulders"),"ELVIVE","Elvive"),"FRUCTIS","Fructis")))</f>
        <v/>
      </c>
      <c r="R439">
        <f>COUNTIF($D$2:$D$10000,D439)&gt;1</f>
        <v/>
      </c>
      <c r="S439">
        <f>IF(H439=TRUE,"Disponible","No disponible")</f>
        <v/>
      </c>
      <c r="T439">
        <f>IF(AND(ISNUMBER(I439),I439&gt;0),ROUND(F439/I439,2),"Sin volumen")</f>
        <v/>
      </c>
      <c r="U439">
        <f>IF(F439&lt;5000,"Bajo",IF(F439&lt;15000,"Medio","Alto"))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TRIM(CLEAN(PROPER(D440)))</f>
        <v/>
      </c>
      <c r="Q440" s="8">
        <f>PROPER(TRIM(SUBSTITUTE(SUBSTITUTE(SUBSTITUTE(SUBSTITUTE(E440,"TRESEMME","Tresemme"),"HEAD &amp; SHOULDERS","Head &amp; Shoulders"),"ELVIVE","Elvive"),"FRUCTIS","Fructis")))</f>
        <v/>
      </c>
      <c r="R440" s="8">
        <f>COUNTIF($D$2:$D$10000,D440)&gt;1</f>
        <v/>
      </c>
      <c r="S440" s="8">
        <f>IF(H440=TRUE,"Disponible","No disponible")</f>
        <v/>
      </c>
      <c r="T440" s="8">
        <f>IF(AND(ISNUMBER(I440),I440&gt;0),ROUND(F440/I440,2),"Sin volumen")</f>
        <v/>
      </c>
      <c r="U440" s="8">
        <f>IF(F440&lt;5000,"Bajo",IF(F440&lt;15000,"Medio","Alto"))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TRIM(CLEAN(PROPER(D441)))</f>
        <v/>
      </c>
      <c r="Q441">
        <f>PROPER(TRIM(SUBSTITUTE(SUBSTITUTE(SUBSTITUTE(SUBSTITUTE(E441,"TRESEMME","Tresemme"),"HEAD &amp; SHOULDERS","Head &amp; Shoulders"),"ELVIVE","Elvive"),"FRUCTIS","Fructis")))</f>
        <v/>
      </c>
      <c r="R441">
        <f>COUNTIF($D$2:$D$10000,D441)&gt;1</f>
        <v/>
      </c>
      <c r="S441">
        <f>IF(H441=TRUE,"Disponible","No disponible")</f>
        <v/>
      </c>
      <c r="T441">
        <f>IF(AND(ISNUMBER(I441),I441&gt;0),ROUND(F441/I441,2),"Sin volumen")</f>
        <v/>
      </c>
      <c r="U441">
        <f>IF(F441&lt;5000,"Bajo",IF(F441&lt;15000,"Medio","Alto"))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TRIM(CLEAN(PROPER(D442)))</f>
        <v/>
      </c>
      <c r="Q442" s="8">
        <f>PROPER(TRIM(SUBSTITUTE(SUBSTITUTE(SUBSTITUTE(SUBSTITUTE(E442,"TRESEMME","Tresemme"),"HEAD &amp; SHOULDERS","Head &amp; Shoulders"),"ELVIVE","Elvive"),"FRUCTIS","Fructis")))</f>
        <v/>
      </c>
      <c r="R442" s="8">
        <f>COUNTIF($D$2:$D$10000,D442)&gt;1</f>
        <v/>
      </c>
      <c r="S442" s="8">
        <f>IF(H442=TRUE,"Disponible","No disponible")</f>
        <v/>
      </c>
      <c r="T442" s="8">
        <f>IF(AND(ISNUMBER(I442),I442&gt;0),ROUND(F442/I442,2),"Sin volumen")</f>
        <v/>
      </c>
      <c r="U442" s="8">
        <f>IF(F442&lt;5000,"Bajo",IF(F442&lt;15000,"Medio","Alto"))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TRIM(CLEAN(PROPER(D443)))</f>
        <v/>
      </c>
      <c r="Q443">
        <f>PROPER(TRIM(SUBSTITUTE(SUBSTITUTE(SUBSTITUTE(SUBSTITUTE(E443,"TRESEMME","Tresemme"),"HEAD &amp; SHOULDERS","Head &amp; Shoulders"),"ELVIVE","Elvive"),"FRUCTIS","Fructis")))</f>
        <v/>
      </c>
      <c r="R443">
        <f>COUNTIF($D$2:$D$10000,D443)&gt;1</f>
        <v/>
      </c>
      <c r="S443">
        <f>IF(H443=TRUE,"Disponible","No disponible")</f>
        <v/>
      </c>
      <c r="T443">
        <f>IF(AND(ISNUMBER(I443),I443&gt;0),ROUND(F443/I443,2),"Sin volumen")</f>
        <v/>
      </c>
      <c r="U443">
        <f>IF(F443&lt;5000,"Bajo",IF(F443&lt;15000,"Medio","Alto"))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TRIM(CLEAN(PROPER(D444)))</f>
        <v/>
      </c>
      <c r="Q444" s="8">
        <f>PROPER(TRIM(SUBSTITUTE(SUBSTITUTE(SUBSTITUTE(SUBSTITUTE(E444,"TRESEMME","Tresemme"),"HEAD &amp; SHOULDERS","Head &amp; Shoulders"),"ELVIVE","Elvive"),"FRUCTIS","Fructis")))</f>
        <v/>
      </c>
      <c r="R444" s="8">
        <f>COUNTIF($D$2:$D$10000,D444)&gt;1</f>
        <v/>
      </c>
      <c r="S444" s="8">
        <f>IF(H444=TRUE,"Disponible","No disponible")</f>
        <v/>
      </c>
      <c r="T444" s="8">
        <f>IF(AND(ISNUMBER(I444),I444&gt;0),ROUND(F444/I444,2),"Sin volumen")</f>
        <v/>
      </c>
      <c r="U444" s="8">
        <f>IF(F444&lt;5000,"Bajo",IF(F444&lt;15000,"Medio","Alto"))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TRIM(CLEAN(PROPER(D445)))</f>
        <v/>
      </c>
      <c r="Q445">
        <f>PROPER(TRIM(SUBSTITUTE(SUBSTITUTE(SUBSTITUTE(SUBSTITUTE(E445,"TRESEMME","Tresemme"),"HEAD &amp; SHOULDERS","Head &amp; Shoulders"),"ELVIVE","Elvive"),"FRUCTIS","Fructis")))</f>
        <v/>
      </c>
      <c r="R445">
        <f>COUNTIF($D$2:$D$10000,D445)&gt;1</f>
        <v/>
      </c>
      <c r="S445">
        <f>IF(H445=TRUE,"Disponible","No disponible")</f>
        <v/>
      </c>
      <c r="T445">
        <f>IF(AND(ISNUMBER(I445),I445&gt;0),ROUND(F445/I445,2),"Sin volumen")</f>
        <v/>
      </c>
      <c r="U445">
        <f>IF(F445&lt;5000,"Bajo",IF(F445&lt;15000,"Medio","Alto"))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TRIM(CLEAN(PROPER(D446)))</f>
        <v/>
      </c>
      <c r="Q446" s="8">
        <f>PROPER(TRIM(SUBSTITUTE(SUBSTITUTE(SUBSTITUTE(SUBSTITUTE(E446,"TRESEMME","Tresemme"),"HEAD &amp; SHOULDERS","Head &amp; Shoulders"),"ELVIVE","Elvive"),"FRUCTIS","Fructis")))</f>
        <v/>
      </c>
      <c r="R446" s="8">
        <f>COUNTIF($D$2:$D$10000,D446)&gt;1</f>
        <v/>
      </c>
      <c r="S446" s="8">
        <f>IF(H446=TRUE,"Disponible","No disponible")</f>
        <v/>
      </c>
      <c r="T446" s="8">
        <f>IF(AND(ISNUMBER(I446),I446&gt;0),ROUND(F446/I446,2),"Sin volumen")</f>
        <v/>
      </c>
      <c r="U446" s="8">
        <f>IF(F446&lt;5000,"Bajo",IF(F446&lt;15000,"Medio","Alto"))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TRIM(CLEAN(PROPER(D447)))</f>
        <v/>
      </c>
      <c r="Q447">
        <f>PROPER(TRIM(SUBSTITUTE(SUBSTITUTE(SUBSTITUTE(SUBSTITUTE(E447,"TRESEMME","Tresemme"),"HEAD &amp; SHOULDERS","Head &amp; Shoulders"),"ELVIVE","Elvive"),"FRUCTIS","Fructis")))</f>
        <v/>
      </c>
      <c r="R447">
        <f>COUNTIF($D$2:$D$10000,D447)&gt;1</f>
        <v/>
      </c>
      <c r="S447">
        <f>IF(H447=TRUE,"Disponible","No disponible")</f>
        <v/>
      </c>
      <c r="T447">
        <f>IF(AND(ISNUMBER(I447),I447&gt;0),ROUND(F447/I447,2),"Sin volumen")</f>
        <v/>
      </c>
      <c r="U447">
        <f>IF(F447&lt;5000,"Bajo",IF(F447&lt;15000,"Medio","Alto"))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TRIM(CLEAN(PROPER(D448)))</f>
        <v/>
      </c>
      <c r="Q448" s="8">
        <f>PROPER(TRIM(SUBSTITUTE(SUBSTITUTE(SUBSTITUTE(SUBSTITUTE(E448,"TRESEMME","Tresemme"),"HEAD &amp; SHOULDERS","Head &amp; Shoulders"),"ELVIVE","Elvive"),"FRUCTIS","Fructis")))</f>
        <v/>
      </c>
      <c r="R448" s="8">
        <f>COUNTIF($D$2:$D$10000,D448)&gt;1</f>
        <v/>
      </c>
      <c r="S448" s="8">
        <f>IF(H448=TRUE,"Disponible","No disponible")</f>
        <v/>
      </c>
      <c r="T448" s="8">
        <f>IF(AND(ISNUMBER(I448),I448&gt;0),ROUND(F448/I448,2),"Sin volumen")</f>
        <v/>
      </c>
      <c r="U448" s="8">
        <f>IF(F448&lt;5000,"Bajo",IF(F448&lt;15000,"Medio","Alto"))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TRIM(CLEAN(PROPER(D449)))</f>
        <v/>
      </c>
      <c r="Q449">
        <f>PROPER(TRIM(SUBSTITUTE(SUBSTITUTE(SUBSTITUTE(SUBSTITUTE(E449,"TRESEMME","Tresemme"),"HEAD &amp; SHOULDERS","Head &amp; Shoulders"),"ELVIVE","Elvive"),"FRUCTIS","Fructis")))</f>
        <v/>
      </c>
      <c r="R449">
        <f>COUNTIF($D$2:$D$10000,D449)&gt;1</f>
        <v/>
      </c>
      <c r="S449">
        <f>IF(H449=TRUE,"Disponible","No disponible")</f>
        <v/>
      </c>
      <c r="T449">
        <f>IF(AND(ISNUMBER(I449),I449&gt;0),ROUND(F449/I449,2),"Sin volumen")</f>
        <v/>
      </c>
      <c r="U449">
        <f>IF(F449&lt;5000,"Bajo",IF(F449&lt;15000,"Medio","Alto"))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TRIM(CLEAN(PROPER(D450)))</f>
        <v/>
      </c>
      <c r="Q450" s="8">
        <f>PROPER(TRIM(SUBSTITUTE(SUBSTITUTE(SUBSTITUTE(SUBSTITUTE(E450,"TRESEMME","Tresemme"),"HEAD &amp; SHOULDERS","Head &amp; Shoulders"),"ELVIVE","Elvive"),"FRUCTIS","Fructis")))</f>
        <v/>
      </c>
      <c r="R450" s="8">
        <f>COUNTIF($D$2:$D$10000,D450)&gt;1</f>
        <v/>
      </c>
      <c r="S450" s="8">
        <f>IF(H450=TRUE,"Disponible","No disponible")</f>
        <v/>
      </c>
      <c r="T450" s="8">
        <f>IF(AND(ISNUMBER(I450),I450&gt;0),ROUND(F450/I450,2),"Sin volumen")</f>
        <v/>
      </c>
      <c r="U450" s="8">
        <f>IF(F450&lt;5000,"Bajo",IF(F450&lt;15000,"Medio","Alto"))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TRIM(CLEAN(PROPER(D451)))</f>
        <v/>
      </c>
      <c r="Q451">
        <f>PROPER(TRIM(SUBSTITUTE(SUBSTITUTE(SUBSTITUTE(SUBSTITUTE(E451,"TRESEMME","Tresemme"),"HEAD &amp; SHOULDERS","Head &amp; Shoulders"),"ELVIVE","Elvive"),"FRUCTIS","Fructis")))</f>
        <v/>
      </c>
      <c r="R451">
        <f>COUNTIF($D$2:$D$10000,D451)&gt;1</f>
        <v/>
      </c>
      <c r="S451">
        <f>IF(H451=TRUE,"Disponible","No disponible")</f>
        <v/>
      </c>
      <c r="T451">
        <f>IF(AND(ISNUMBER(I451),I451&gt;0),ROUND(F451/I451,2),"Sin volumen")</f>
        <v/>
      </c>
      <c r="U451">
        <f>IF(F451&lt;5000,"Bajo",IF(F451&lt;15000,"Medio","Alto"))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TRIM(CLEAN(PROPER(D452)))</f>
        <v/>
      </c>
      <c r="Q452" s="8">
        <f>PROPER(TRIM(SUBSTITUTE(SUBSTITUTE(SUBSTITUTE(SUBSTITUTE(E452,"TRESEMME","Tresemme"),"HEAD &amp; SHOULDERS","Head &amp; Shoulders"),"ELVIVE","Elvive"),"FRUCTIS","Fructis")))</f>
        <v/>
      </c>
      <c r="R452" s="8">
        <f>COUNTIF($D$2:$D$10000,D452)&gt;1</f>
        <v/>
      </c>
      <c r="S452" s="8">
        <f>IF(H452=TRUE,"Disponible","No disponible")</f>
        <v/>
      </c>
      <c r="T452" s="8">
        <f>IF(AND(ISNUMBER(I452),I452&gt;0),ROUND(F452/I452,2),"Sin volumen")</f>
        <v/>
      </c>
      <c r="U452" s="8">
        <f>IF(F452&lt;5000,"Bajo",IF(F452&lt;15000,"Medio","Alto"))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TRIM(CLEAN(PROPER(D453)))</f>
        <v/>
      </c>
      <c r="Q453">
        <f>PROPER(TRIM(SUBSTITUTE(SUBSTITUTE(SUBSTITUTE(SUBSTITUTE(E453,"TRESEMME","Tresemme"),"HEAD &amp; SHOULDERS","Head &amp; Shoulders"),"ELVIVE","Elvive"),"FRUCTIS","Fructis")))</f>
        <v/>
      </c>
      <c r="R453">
        <f>COUNTIF($D$2:$D$10000,D453)&gt;1</f>
        <v/>
      </c>
      <c r="S453">
        <f>IF(H453=TRUE,"Disponible","No disponible")</f>
        <v/>
      </c>
      <c r="T453">
        <f>IF(AND(ISNUMBER(I453),I453&gt;0),ROUND(F453/I453,2),"Sin volumen")</f>
        <v/>
      </c>
      <c r="U453">
        <f>IF(F453&lt;5000,"Bajo",IF(F453&lt;15000,"Medio","Alto"))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TRIM(CLEAN(PROPER(D454)))</f>
        <v/>
      </c>
      <c r="Q454" s="8">
        <f>PROPER(TRIM(SUBSTITUTE(SUBSTITUTE(SUBSTITUTE(SUBSTITUTE(E454,"TRESEMME","Tresemme"),"HEAD &amp; SHOULDERS","Head &amp; Shoulders"),"ELVIVE","Elvive"),"FRUCTIS","Fructis")))</f>
        <v/>
      </c>
      <c r="R454" s="8">
        <f>COUNTIF($D$2:$D$10000,D454)&gt;1</f>
        <v/>
      </c>
      <c r="S454" s="8">
        <f>IF(H454=TRUE,"Disponible","No disponible")</f>
        <v/>
      </c>
      <c r="T454" s="8">
        <f>IF(AND(ISNUMBER(I454),I454&gt;0),ROUND(F454/I454,2),"Sin volumen")</f>
        <v/>
      </c>
      <c r="U454" s="8">
        <f>IF(F454&lt;5000,"Bajo",IF(F454&lt;15000,"Medio","Alto"))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TRIM(CLEAN(PROPER(D455)))</f>
        <v/>
      </c>
      <c r="Q455">
        <f>PROPER(TRIM(SUBSTITUTE(SUBSTITUTE(SUBSTITUTE(SUBSTITUTE(E455,"TRESEMME","Tresemme"),"HEAD &amp; SHOULDERS","Head &amp; Shoulders"),"ELVIVE","Elvive"),"FRUCTIS","Fructis")))</f>
        <v/>
      </c>
      <c r="R455">
        <f>COUNTIF($D$2:$D$10000,D455)&gt;1</f>
        <v/>
      </c>
      <c r="S455">
        <f>IF(H455=TRUE,"Disponible","No disponible")</f>
        <v/>
      </c>
      <c r="T455">
        <f>IF(AND(ISNUMBER(I455),I455&gt;0),ROUND(F455/I455,2),"Sin volumen")</f>
        <v/>
      </c>
      <c r="U455">
        <f>IF(F455&lt;5000,"Bajo",IF(F455&lt;15000,"Medio","Alto"))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TRIM(CLEAN(PROPER(D456)))</f>
        <v/>
      </c>
      <c r="Q456" s="8">
        <f>PROPER(TRIM(SUBSTITUTE(SUBSTITUTE(SUBSTITUTE(SUBSTITUTE(E456,"TRESEMME","Tresemme"),"HEAD &amp; SHOULDERS","Head &amp; Shoulders"),"ELVIVE","Elvive"),"FRUCTIS","Fructis")))</f>
        <v/>
      </c>
      <c r="R456" s="8">
        <f>COUNTIF($D$2:$D$10000,D456)&gt;1</f>
        <v/>
      </c>
      <c r="S456" s="8">
        <f>IF(H456=TRUE,"Disponible","No disponible")</f>
        <v/>
      </c>
      <c r="T456" s="8">
        <f>IF(AND(ISNUMBER(I456),I456&gt;0),ROUND(F456/I456,2),"Sin volumen")</f>
        <v/>
      </c>
      <c r="U456" s="8">
        <f>IF(F456&lt;5000,"Bajo",IF(F456&lt;15000,"Medio","Alto"))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TRIM(CLEAN(PROPER(D457)))</f>
        <v/>
      </c>
      <c r="Q457">
        <f>PROPER(TRIM(SUBSTITUTE(SUBSTITUTE(SUBSTITUTE(SUBSTITUTE(E457,"TRESEMME","Tresemme"),"HEAD &amp; SHOULDERS","Head &amp; Shoulders"),"ELVIVE","Elvive"),"FRUCTIS","Fructis")))</f>
        <v/>
      </c>
      <c r="R457">
        <f>COUNTIF($D$2:$D$10000,D457)&gt;1</f>
        <v/>
      </c>
      <c r="S457">
        <f>IF(H457=TRUE,"Disponible","No disponible")</f>
        <v/>
      </c>
      <c r="T457">
        <f>IF(AND(ISNUMBER(I457),I457&gt;0),ROUND(F457/I457,2),"Sin volumen")</f>
        <v/>
      </c>
      <c r="U457">
        <f>IF(F457&lt;5000,"Bajo",IF(F457&lt;15000,"Medio","Alto"))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TRIM(CLEAN(PROPER(D458)))</f>
        <v/>
      </c>
      <c r="Q458" s="8">
        <f>PROPER(TRIM(SUBSTITUTE(SUBSTITUTE(SUBSTITUTE(SUBSTITUTE(E458,"TRESEMME","Tresemme"),"HEAD &amp; SHOULDERS","Head &amp; Shoulders"),"ELVIVE","Elvive"),"FRUCTIS","Fructis")))</f>
        <v/>
      </c>
      <c r="R458" s="8">
        <f>COUNTIF($D$2:$D$10000,D458)&gt;1</f>
        <v/>
      </c>
      <c r="S458" s="8">
        <f>IF(H458=TRUE,"Disponible","No disponible")</f>
        <v/>
      </c>
      <c r="T458" s="8">
        <f>IF(AND(ISNUMBER(I458),I458&gt;0),ROUND(F458/I458,2),"Sin volumen")</f>
        <v/>
      </c>
      <c r="U458" s="8">
        <f>IF(F458&lt;5000,"Bajo",IF(F458&lt;15000,"Medio","Alto"))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TRIM(CLEAN(PROPER(D459)))</f>
        <v/>
      </c>
      <c r="Q459">
        <f>PROPER(TRIM(SUBSTITUTE(SUBSTITUTE(SUBSTITUTE(SUBSTITUTE(E459,"TRESEMME","Tresemme"),"HEAD &amp; SHOULDERS","Head &amp; Shoulders"),"ELVIVE","Elvive"),"FRUCTIS","Fructis")))</f>
        <v/>
      </c>
      <c r="R459">
        <f>COUNTIF($D$2:$D$10000,D459)&gt;1</f>
        <v/>
      </c>
      <c r="S459">
        <f>IF(H459=TRUE,"Disponible","No disponible")</f>
        <v/>
      </c>
      <c r="T459">
        <f>IF(AND(ISNUMBER(I459),I459&gt;0),ROUND(F459/I459,2),"Sin volumen")</f>
        <v/>
      </c>
      <c r="U459">
        <f>IF(F459&lt;5000,"Bajo",IF(F459&lt;15000,"Medio","Alto"))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TRIM(CLEAN(PROPER(D460)))</f>
        <v/>
      </c>
      <c r="Q460" s="8">
        <f>PROPER(TRIM(SUBSTITUTE(SUBSTITUTE(SUBSTITUTE(SUBSTITUTE(E460,"TRESEMME","Tresemme"),"HEAD &amp; SHOULDERS","Head &amp; Shoulders"),"ELVIVE","Elvive"),"FRUCTIS","Fructis")))</f>
        <v/>
      </c>
      <c r="R460" s="8">
        <f>COUNTIF($D$2:$D$10000,D460)&gt;1</f>
        <v/>
      </c>
      <c r="S460" s="8">
        <f>IF(H460=TRUE,"Disponible","No disponible")</f>
        <v/>
      </c>
      <c r="T460" s="8">
        <f>IF(AND(ISNUMBER(I460),I460&gt;0),ROUND(F460/I460,2),"Sin volumen")</f>
        <v/>
      </c>
      <c r="U460" s="8">
        <f>IF(F460&lt;5000,"Bajo",IF(F460&lt;15000,"Medio","Alto"))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TRIM(CLEAN(PROPER(D461)))</f>
        <v/>
      </c>
      <c r="Q461">
        <f>PROPER(TRIM(SUBSTITUTE(SUBSTITUTE(SUBSTITUTE(SUBSTITUTE(E461,"TRESEMME","Tresemme"),"HEAD &amp; SHOULDERS","Head &amp; Shoulders"),"ELVIVE","Elvive"),"FRUCTIS","Fructis")))</f>
        <v/>
      </c>
      <c r="R461">
        <f>COUNTIF($D$2:$D$10000,D461)&gt;1</f>
        <v/>
      </c>
      <c r="S461">
        <f>IF(H461=TRUE,"Disponible","No disponible")</f>
        <v/>
      </c>
      <c r="T461">
        <f>IF(AND(ISNUMBER(I461),I461&gt;0),ROUND(F461/I461,2),"Sin volumen")</f>
        <v/>
      </c>
      <c r="U461">
        <f>IF(F461&lt;5000,"Bajo",IF(F461&lt;15000,"Medio","Alto"))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TRIM(CLEAN(PROPER(D462)))</f>
        <v/>
      </c>
      <c r="Q462" s="8">
        <f>PROPER(TRIM(SUBSTITUTE(SUBSTITUTE(SUBSTITUTE(SUBSTITUTE(E462,"TRESEMME","Tresemme"),"HEAD &amp; SHOULDERS","Head &amp; Shoulders"),"ELVIVE","Elvive"),"FRUCTIS","Fructis")))</f>
        <v/>
      </c>
      <c r="R462" s="8">
        <f>COUNTIF($D$2:$D$10000,D462)&gt;1</f>
        <v/>
      </c>
      <c r="S462" s="8">
        <f>IF(H462=TRUE,"Disponible","No disponible")</f>
        <v/>
      </c>
      <c r="T462" s="8">
        <f>IF(AND(ISNUMBER(I462),I462&gt;0),ROUND(F462/I462,2),"Sin volumen")</f>
        <v/>
      </c>
      <c r="U462" s="8">
        <f>IF(F462&lt;5000,"Bajo",IF(F462&lt;15000,"Medio","Alto"))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TRIM(CLEAN(PROPER(D463)))</f>
        <v/>
      </c>
      <c r="Q463">
        <f>PROPER(TRIM(SUBSTITUTE(SUBSTITUTE(SUBSTITUTE(SUBSTITUTE(E463,"TRESEMME","Tresemme"),"HEAD &amp; SHOULDERS","Head &amp; Shoulders"),"ELVIVE","Elvive"),"FRUCTIS","Fructis")))</f>
        <v/>
      </c>
      <c r="R463">
        <f>COUNTIF($D$2:$D$10000,D463)&gt;1</f>
        <v/>
      </c>
      <c r="S463">
        <f>IF(H463=TRUE,"Disponible","No disponible")</f>
        <v/>
      </c>
      <c r="T463">
        <f>IF(AND(ISNUMBER(I463),I463&gt;0),ROUND(F463/I463,2),"Sin volumen")</f>
        <v/>
      </c>
      <c r="U463">
        <f>IF(F463&lt;5000,"Bajo",IF(F463&lt;15000,"Medio","Alto"))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TRIM(CLEAN(PROPER(D464)))</f>
        <v/>
      </c>
      <c r="Q464" s="8">
        <f>PROPER(TRIM(SUBSTITUTE(SUBSTITUTE(SUBSTITUTE(SUBSTITUTE(E464,"TRESEMME","Tresemme"),"HEAD &amp; SHOULDERS","Head &amp; Shoulders"),"ELVIVE","Elvive"),"FRUCTIS","Fructis")))</f>
        <v/>
      </c>
      <c r="R464" s="8">
        <f>COUNTIF($D$2:$D$10000,D464)&gt;1</f>
        <v/>
      </c>
      <c r="S464" s="8">
        <f>IF(H464=TRUE,"Disponible","No disponible")</f>
        <v/>
      </c>
      <c r="T464" s="8">
        <f>IF(AND(ISNUMBER(I464),I464&gt;0),ROUND(F464/I464,2),"Sin volumen")</f>
        <v/>
      </c>
      <c r="U464" s="8">
        <f>IF(F464&lt;5000,"Bajo",IF(F464&lt;15000,"Medio","Alto"))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TRIM(CLEAN(PROPER(D465)))</f>
        <v/>
      </c>
      <c r="Q465">
        <f>PROPER(TRIM(SUBSTITUTE(SUBSTITUTE(SUBSTITUTE(SUBSTITUTE(E465,"TRESEMME","Tresemme"),"HEAD &amp; SHOULDERS","Head &amp; Shoulders"),"ELVIVE","Elvive"),"FRUCTIS","Fructis")))</f>
        <v/>
      </c>
      <c r="R465">
        <f>COUNTIF($D$2:$D$10000,D465)&gt;1</f>
        <v/>
      </c>
      <c r="S465">
        <f>IF(H465=TRUE,"Disponible","No disponible")</f>
        <v/>
      </c>
      <c r="T465">
        <f>IF(AND(ISNUMBER(I465),I465&gt;0),ROUND(F465/I465,2),"Sin volumen")</f>
        <v/>
      </c>
      <c r="U465">
        <f>IF(F465&lt;5000,"Bajo",IF(F465&lt;15000,"Medio","Alto"))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TRIM(CLEAN(PROPER(D466)))</f>
        <v/>
      </c>
      <c r="Q466" s="8">
        <f>PROPER(TRIM(SUBSTITUTE(SUBSTITUTE(SUBSTITUTE(SUBSTITUTE(E466,"TRESEMME","Tresemme"),"HEAD &amp; SHOULDERS","Head &amp; Shoulders"),"ELVIVE","Elvive"),"FRUCTIS","Fructis")))</f>
        <v/>
      </c>
      <c r="R466" s="8">
        <f>COUNTIF($D$2:$D$10000,D466)&gt;1</f>
        <v/>
      </c>
      <c r="S466" s="8">
        <f>IF(H466=TRUE,"Disponible","No disponible")</f>
        <v/>
      </c>
      <c r="T466" s="8">
        <f>IF(AND(ISNUMBER(I466),I466&gt;0),ROUND(F466/I466,2),"Sin volumen")</f>
        <v/>
      </c>
      <c r="U466" s="8">
        <f>IF(F466&lt;5000,"Bajo",IF(F466&lt;15000,"Medio","Alto"))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TRIM(CLEAN(PROPER(D467)))</f>
        <v/>
      </c>
      <c r="Q467">
        <f>PROPER(TRIM(SUBSTITUTE(SUBSTITUTE(SUBSTITUTE(SUBSTITUTE(E467,"TRESEMME","Tresemme"),"HEAD &amp; SHOULDERS","Head &amp; Shoulders"),"ELVIVE","Elvive"),"FRUCTIS","Fructis")))</f>
        <v/>
      </c>
      <c r="R467">
        <f>COUNTIF($D$2:$D$10000,D467)&gt;1</f>
        <v/>
      </c>
      <c r="S467">
        <f>IF(H467=TRUE,"Disponible","No disponible")</f>
        <v/>
      </c>
      <c r="T467">
        <f>IF(AND(ISNUMBER(I467),I467&gt;0),ROUND(F467/I467,2),"Sin volumen")</f>
        <v/>
      </c>
      <c r="U467">
        <f>IF(F467&lt;5000,"Bajo",IF(F467&lt;15000,"Medio","Alto"))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TRIM(CLEAN(PROPER(D468)))</f>
        <v/>
      </c>
      <c r="Q468" s="8">
        <f>PROPER(TRIM(SUBSTITUTE(SUBSTITUTE(SUBSTITUTE(SUBSTITUTE(E468,"TRESEMME","Tresemme"),"HEAD &amp; SHOULDERS","Head &amp; Shoulders"),"ELVIVE","Elvive"),"FRUCTIS","Fructis")))</f>
        <v/>
      </c>
      <c r="R468" s="8">
        <f>COUNTIF($D$2:$D$10000,D468)&gt;1</f>
        <v/>
      </c>
      <c r="S468" s="8">
        <f>IF(H468=TRUE,"Disponible","No disponible")</f>
        <v/>
      </c>
      <c r="T468" s="8">
        <f>IF(AND(ISNUMBER(I468),I468&gt;0),ROUND(F468/I468,2),"Sin volumen")</f>
        <v/>
      </c>
      <c r="U468" s="8">
        <f>IF(F468&lt;5000,"Bajo",IF(F468&lt;15000,"Medio","Alto"))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TRIM(CLEAN(PROPER(D469)))</f>
        <v/>
      </c>
      <c r="Q469">
        <f>PROPER(TRIM(SUBSTITUTE(SUBSTITUTE(SUBSTITUTE(SUBSTITUTE(E469,"TRESEMME","Tresemme"),"HEAD &amp; SHOULDERS","Head &amp; Shoulders"),"ELVIVE","Elvive"),"FRUCTIS","Fructis")))</f>
        <v/>
      </c>
      <c r="R469">
        <f>COUNTIF($D$2:$D$10000,D469)&gt;1</f>
        <v/>
      </c>
      <c r="S469">
        <f>IF(H469=TRUE,"Disponible","No disponible")</f>
        <v/>
      </c>
      <c r="T469">
        <f>IF(AND(ISNUMBER(I469),I469&gt;0),ROUND(F469/I469,2),"Sin volumen")</f>
        <v/>
      </c>
      <c r="U469">
        <f>IF(F469&lt;5000,"Bajo",IF(F469&lt;15000,"Medio","Alto"))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TRIM(CLEAN(PROPER(D470)))</f>
        <v/>
      </c>
      <c r="Q470" s="8">
        <f>PROPER(TRIM(SUBSTITUTE(SUBSTITUTE(SUBSTITUTE(SUBSTITUTE(E470,"TRESEMME","Tresemme"),"HEAD &amp; SHOULDERS","Head &amp; Shoulders"),"ELVIVE","Elvive"),"FRUCTIS","Fructis")))</f>
        <v/>
      </c>
      <c r="R470" s="8">
        <f>COUNTIF($D$2:$D$10000,D470)&gt;1</f>
        <v/>
      </c>
      <c r="S470" s="8">
        <f>IF(H470=TRUE,"Disponible","No disponible")</f>
        <v/>
      </c>
      <c r="T470" s="8">
        <f>IF(AND(ISNUMBER(I470),I470&gt;0),ROUND(F470/I470,2),"Sin volumen")</f>
        <v/>
      </c>
      <c r="U470" s="8">
        <f>IF(F470&lt;5000,"Bajo",IF(F470&lt;15000,"Medio","Alto"))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TRIM(CLEAN(PROPER(D471)))</f>
        <v/>
      </c>
      <c r="Q471">
        <f>PROPER(TRIM(SUBSTITUTE(SUBSTITUTE(SUBSTITUTE(SUBSTITUTE(E471,"TRESEMME","Tresemme"),"HEAD &amp; SHOULDERS","Head &amp; Shoulders"),"ELVIVE","Elvive"),"FRUCTIS","Fructis")))</f>
        <v/>
      </c>
      <c r="R471">
        <f>COUNTIF($D$2:$D$10000,D471)&gt;1</f>
        <v/>
      </c>
      <c r="S471">
        <f>IF(H471=TRUE,"Disponible","No disponible")</f>
        <v/>
      </c>
      <c r="T471">
        <f>IF(AND(ISNUMBER(I471),I471&gt;0),ROUND(F471/I471,2),"Sin volumen")</f>
        <v/>
      </c>
      <c r="U471">
        <f>IF(F471&lt;5000,"Bajo",IF(F471&lt;15000,"Medio","Alto"))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TRIM(CLEAN(PROPER(D472)))</f>
        <v/>
      </c>
      <c r="Q472" s="8">
        <f>PROPER(TRIM(SUBSTITUTE(SUBSTITUTE(SUBSTITUTE(SUBSTITUTE(E472,"TRESEMME","Tresemme"),"HEAD &amp; SHOULDERS","Head &amp; Shoulders"),"ELVIVE","Elvive"),"FRUCTIS","Fructis")))</f>
        <v/>
      </c>
      <c r="R472" s="8">
        <f>COUNTIF($D$2:$D$10000,D472)&gt;1</f>
        <v/>
      </c>
      <c r="S472" s="8">
        <f>IF(H472=TRUE,"Disponible","No disponible")</f>
        <v/>
      </c>
      <c r="T472" s="8">
        <f>IF(AND(ISNUMBER(I472),I472&gt;0),ROUND(F472/I472,2),"Sin volumen")</f>
        <v/>
      </c>
      <c r="U472" s="8">
        <f>IF(F472&lt;5000,"Bajo",IF(F472&lt;15000,"Medio","Alto"))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TRIM(CLEAN(PROPER(D473)))</f>
        <v/>
      </c>
      <c r="Q473">
        <f>PROPER(TRIM(SUBSTITUTE(SUBSTITUTE(SUBSTITUTE(SUBSTITUTE(E473,"TRESEMME","Tresemme"),"HEAD &amp; SHOULDERS","Head &amp; Shoulders"),"ELVIVE","Elvive"),"FRUCTIS","Fructis")))</f>
        <v/>
      </c>
      <c r="R473">
        <f>COUNTIF($D$2:$D$10000,D473)&gt;1</f>
        <v/>
      </c>
      <c r="S473">
        <f>IF(H473=TRUE,"Disponible","No disponible")</f>
        <v/>
      </c>
      <c r="T473">
        <f>IF(AND(ISNUMBER(I473),I473&gt;0),ROUND(F473/I473,2),"Sin volumen")</f>
        <v/>
      </c>
      <c r="U473">
        <f>IF(F473&lt;5000,"Bajo",IF(F473&lt;15000,"Medio","Alto"))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TRIM(CLEAN(PROPER(D474)))</f>
        <v/>
      </c>
      <c r="Q474" s="8">
        <f>PROPER(TRIM(SUBSTITUTE(SUBSTITUTE(SUBSTITUTE(SUBSTITUTE(E474,"TRESEMME","Tresemme"),"HEAD &amp; SHOULDERS","Head &amp; Shoulders"),"ELVIVE","Elvive"),"FRUCTIS","Fructis")))</f>
        <v/>
      </c>
      <c r="R474" s="8">
        <f>COUNTIF($D$2:$D$10000,D474)&gt;1</f>
        <v/>
      </c>
      <c r="S474" s="8">
        <f>IF(H474=TRUE,"Disponible","No disponible")</f>
        <v/>
      </c>
      <c r="T474" s="8">
        <f>IF(AND(ISNUMBER(I474),I474&gt;0),ROUND(F474/I474,2),"Sin volumen")</f>
        <v/>
      </c>
      <c r="U474" s="8">
        <f>IF(F474&lt;5000,"Bajo",IF(F474&lt;15000,"Medio","Alto"))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TRIM(CLEAN(PROPER(D475)))</f>
        <v/>
      </c>
      <c r="Q475">
        <f>PROPER(TRIM(SUBSTITUTE(SUBSTITUTE(SUBSTITUTE(SUBSTITUTE(E475,"TRESEMME","Tresemme"),"HEAD &amp; SHOULDERS","Head &amp; Shoulders"),"ELVIVE","Elvive"),"FRUCTIS","Fructis")))</f>
        <v/>
      </c>
      <c r="R475">
        <f>COUNTIF($D$2:$D$10000,D475)&gt;1</f>
        <v/>
      </c>
      <c r="S475">
        <f>IF(H475=TRUE,"Disponible","No disponible")</f>
        <v/>
      </c>
      <c r="T475">
        <f>IF(AND(ISNUMBER(I475),I475&gt;0),ROUND(F475/I475,2),"Sin volumen")</f>
        <v/>
      </c>
      <c r="U475">
        <f>IF(F475&lt;5000,"Bajo",IF(F475&lt;15000,"Medio","Alto"))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TRIM(CLEAN(PROPER(D476)))</f>
        <v/>
      </c>
      <c r="Q476" s="8">
        <f>PROPER(TRIM(SUBSTITUTE(SUBSTITUTE(SUBSTITUTE(SUBSTITUTE(E476,"TRESEMME","Tresemme"),"HEAD &amp; SHOULDERS","Head &amp; Shoulders"),"ELVIVE","Elvive"),"FRUCTIS","Fructis")))</f>
        <v/>
      </c>
      <c r="R476" s="8">
        <f>COUNTIF($D$2:$D$10000,D476)&gt;1</f>
        <v/>
      </c>
      <c r="S476" s="8">
        <f>IF(H476=TRUE,"Disponible","No disponible")</f>
        <v/>
      </c>
      <c r="T476" s="8">
        <f>IF(AND(ISNUMBER(I476),I476&gt;0),ROUND(F476/I476,2),"Sin volumen")</f>
        <v/>
      </c>
      <c r="U476" s="8">
        <f>IF(F476&lt;5000,"Bajo",IF(F476&lt;15000,"Medio","Alto"))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TRIM(CLEAN(PROPER(D477)))</f>
        <v/>
      </c>
      <c r="Q477">
        <f>PROPER(TRIM(SUBSTITUTE(SUBSTITUTE(SUBSTITUTE(SUBSTITUTE(E477,"TRESEMME","Tresemme"),"HEAD &amp; SHOULDERS","Head &amp; Shoulders"),"ELVIVE","Elvive"),"FRUCTIS","Fructis")))</f>
        <v/>
      </c>
      <c r="R477">
        <f>COUNTIF($D$2:$D$10000,D477)&gt;1</f>
        <v/>
      </c>
      <c r="S477">
        <f>IF(H477=TRUE,"Disponible","No disponible")</f>
        <v/>
      </c>
      <c r="T477">
        <f>IF(AND(ISNUMBER(I477),I477&gt;0),ROUND(F477/I477,2),"Sin volumen")</f>
        <v/>
      </c>
      <c r="U477">
        <f>IF(F477&lt;5000,"Bajo",IF(F477&lt;15000,"Medio","Alto"))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TRIM(CLEAN(PROPER(D478)))</f>
        <v/>
      </c>
      <c r="Q478" s="8">
        <f>PROPER(TRIM(SUBSTITUTE(SUBSTITUTE(SUBSTITUTE(SUBSTITUTE(E478,"TRESEMME","Tresemme"),"HEAD &amp; SHOULDERS","Head &amp; Shoulders"),"ELVIVE","Elvive"),"FRUCTIS","Fructis")))</f>
        <v/>
      </c>
      <c r="R478" s="8">
        <f>COUNTIF($D$2:$D$10000,D478)&gt;1</f>
        <v/>
      </c>
      <c r="S478" s="8">
        <f>IF(H478=TRUE,"Disponible","No disponible")</f>
        <v/>
      </c>
      <c r="T478" s="8">
        <f>IF(AND(ISNUMBER(I478),I478&gt;0),ROUND(F478/I478,2),"Sin volumen")</f>
        <v/>
      </c>
      <c r="U478" s="8">
        <f>IF(F478&lt;5000,"Bajo",IF(F478&lt;15000,"Medio","Alto"))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TRIM(CLEAN(PROPER(D479)))</f>
        <v/>
      </c>
      <c r="Q479">
        <f>PROPER(TRIM(SUBSTITUTE(SUBSTITUTE(SUBSTITUTE(SUBSTITUTE(E479,"TRESEMME","Tresemme"),"HEAD &amp; SHOULDERS","Head &amp; Shoulders"),"ELVIVE","Elvive"),"FRUCTIS","Fructis")))</f>
        <v/>
      </c>
      <c r="R479">
        <f>COUNTIF($D$2:$D$10000,D479)&gt;1</f>
        <v/>
      </c>
      <c r="S479">
        <f>IF(H479=TRUE,"Disponible","No disponible")</f>
        <v/>
      </c>
      <c r="T479">
        <f>IF(AND(ISNUMBER(I479),I479&gt;0),ROUND(F479/I479,2),"Sin volumen")</f>
        <v/>
      </c>
      <c r="U479">
        <f>IF(F479&lt;5000,"Bajo",IF(F479&lt;15000,"Medio","Alto"))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TRIM(CLEAN(PROPER(D480)))</f>
        <v/>
      </c>
      <c r="Q480" s="8">
        <f>PROPER(TRIM(SUBSTITUTE(SUBSTITUTE(SUBSTITUTE(SUBSTITUTE(E480,"TRESEMME","Tresemme"),"HEAD &amp; SHOULDERS","Head &amp; Shoulders"),"ELVIVE","Elvive"),"FRUCTIS","Fructis")))</f>
        <v/>
      </c>
      <c r="R480" s="8">
        <f>COUNTIF($D$2:$D$10000,D480)&gt;1</f>
        <v/>
      </c>
      <c r="S480" s="8">
        <f>IF(H480=TRUE,"Disponible","No disponible")</f>
        <v/>
      </c>
      <c r="T480" s="8">
        <f>IF(AND(ISNUMBER(I480),I480&gt;0),ROUND(F480/I480,2),"Sin volumen")</f>
        <v/>
      </c>
      <c r="U480" s="8">
        <f>IF(F480&lt;5000,"Bajo",IF(F480&lt;15000,"Medio","Alto"))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TRIM(CLEAN(PROPER(D481)))</f>
        <v/>
      </c>
      <c r="Q481">
        <f>PROPER(TRIM(SUBSTITUTE(SUBSTITUTE(SUBSTITUTE(SUBSTITUTE(E481,"TRESEMME","Tresemme"),"HEAD &amp; SHOULDERS","Head &amp; Shoulders"),"ELVIVE","Elvive"),"FRUCTIS","Fructis")))</f>
        <v/>
      </c>
      <c r="R481">
        <f>COUNTIF($D$2:$D$10000,D481)&gt;1</f>
        <v/>
      </c>
      <c r="S481">
        <f>IF(H481=TRUE,"Disponible","No disponible")</f>
        <v/>
      </c>
      <c r="T481">
        <f>IF(AND(ISNUMBER(I481),I481&gt;0),ROUND(F481/I481,2),"Sin volumen")</f>
        <v/>
      </c>
      <c r="U481">
        <f>IF(F481&lt;5000,"Bajo",IF(F481&lt;15000,"Medio","Alto"))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TRIM(CLEAN(PROPER(D482)))</f>
        <v/>
      </c>
      <c r="Q482" s="8">
        <f>PROPER(TRIM(SUBSTITUTE(SUBSTITUTE(SUBSTITUTE(SUBSTITUTE(E482,"TRESEMME","Tresemme"),"HEAD &amp; SHOULDERS","Head &amp; Shoulders"),"ELVIVE","Elvive"),"FRUCTIS","Fructis")))</f>
        <v/>
      </c>
      <c r="R482" s="8">
        <f>COUNTIF($D$2:$D$10000,D482)&gt;1</f>
        <v/>
      </c>
      <c r="S482" s="8">
        <f>IF(H482=TRUE,"Disponible","No disponible")</f>
        <v/>
      </c>
      <c r="T482" s="8">
        <f>IF(AND(ISNUMBER(I482),I482&gt;0),ROUND(F482/I482,2),"Sin volumen")</f>
        <v/>
      </c>
      <c r="U482" s="8">
        <f>IF(F482&lt;5000,"Bajo",IF(F482&lt;15000,"Medio","Alto"))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TRIM(CLEAN(PROPER(D483)))</f>
        <v/>
      </c>
      <c r="Q483">
        <f>PROPER(TRIM(SUBSTITUTE(SUBSTITUTE(SUBSTITUTE(SUBSTITUTE(E483,"TRESEMME","Tresemme"),"HEAD &amp; SHOULDERS","Head &amp; Shoulders"),"ELVIVE","Elvive"),"FRUCTIS","Fructis")))</f>
        <v/>
      </c>
      <c r="R483">
        <f>COUNTIF($D$2:$D$10000,D483)&gt;1</f>
        <v/>
      </c>
      <c r="S483">
        <f>IF(H483=TRUE,"Disponible","No disponible")</f>
        <v/>
      </c>
      <c r="T483">
        <f>IF(AND(ISNUMBER(I483),I483&gt;0),ROUND(F483/I483,2),"Sin volumen")</f>
        <v/>
      </c>
      <c r="U483">
        <f>IF(F483&lt;5000,"Bajo",IF(F483&lt;15000,"Medio","Alto"))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TRIM(CLEAN(PROPER(D484)))</f>
        <v/>
      </c>
      <c r="Q484" s="8">
        <f>PROPER(TRIM(SUBSTITUTE(SUBSTITUTE(SUBSTITUTE(SUBSTITUTE(E484,"TRESEMME","Tresemme"),"HEAD &amp; SHOULDERS","Head &amp; Shoulders"),"ELVIVE","Elvive"),"FRUCTIS","Fructis")))</f>
        <v/>
      </c>
      <c r="R484" s="8">
        <f>COUNTIF($D$2:$D$10000,D484)&gt;1</f>
        <v/>
      </c>
      <c r="S484" s="8">
        <f>IF(H484=TRUE,"Disponible","No disponible")</f>
        <v/>
      </c>
      <c r="T484" s="8">
        <f>IF(AND(ISNUMBER(I484),I484&gt;0),ROUND(F484/I484,2),"Sin volumen")</f>
        <v/>
      </c>
      <c r="U484" s="8">
        <f>IF(F484&lt;5000,"Bajo",IF(F484&lt;15000,"Medio","Alto"))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TRIM(CLEAN(PROPER(D485)))</f>
        <v/>
      </c>
      <c r="Q485">
        <f>PROPER(TRIM(SUBSTITUTE(SUBSTITUTE(SUBSTITUTE(SUBSTITUTE(E485,"TRESEMME","Tresemme"),"HEAD &amp; SHOULDERS","Head &amp; Shoulders"),"ELVIVE","Elvive"),"FRUCTIS","Fructis")))</f>
        <v/>
      </c>
      <c r="R485">
        <f>COUNTIF($D$2:$D$10000,D485)&gt;1</f>
        <v/>
      </c>
      <c r="S485">
        <f>IF(H485=TRUE,"Disponible","No disponible")</f>
        <v/>
      </c>
      <c r="T485">
        <f>IF(AND(ISNUMBER(I485),I485&gt;0),ROUND(F485/I485,2),"Sin volumen")</f>
        <v/>
      </c>
      <c r="U485">
        <f>IF(F485&lt;5000,"Bajo",IF(F485&lt;15000,"Medio","Alto"))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TRIM(CLEAN(PROPER(D486)))</f>
        <v/>
      </c>
      <c r="Q486" s="8">
        <f>PROPER(TRIM(SUBSTITUTE(SUBSTITUTE(SUBSTITUTE(SUBSTITUTE(E486,"TRESEMME","Tresemme"),"HEAD &amp; SHOULDERS","Head &amp; Shoulders"),"ELVIVE","Elvive"),"FRUCTIS","Fructis")))</f>
        <v/>
      </c>
      <c r="R486" s="8">
        <f>COUNTIF($D$2:$D$10000,D486)&gt;1</f>
        <v/>
      </c>
      <c r="S486" s="8">
        <f>IF(H486=TRUE,"Disponible","No disponible")</f>
        <v/>
      </c>
      <c r="T486" s="8">
        <f>IF(AND(ISNUMBER(I486),I486&gt;0),ROUND(F486/I486,2),"Sin volumen")</f>
        <v/>
      </c>
      <c r="U486" s="8">
        <f>IF(F486&lt;5000,"Bajo",IF(F486&lt;15000,"Medio","Alto"))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TRIM(CLEAN(PROPER(D487)))</f>
        <v/>
      </c>
      <c r="Q487">
        <f>PROPER(TRIM(SUBSTITUTE(SUBSTITUTE(SUBSTITUTE(SUBSTITUTE(E487,"TRESEMME","Tresemme"),"HEAD &amp; SHOULDERS","Head &amp; Shoulders"),"ELVIVE","Elvive"),"FRUCTIS","Fructis")))</f>
        <v/>
      </c>
      <c r="R487">
        <f>COUNTIF($D$2:$D$10000,D487)&gt;1</f>
        <v/>
      </c>
      <c r="S487">
        <f>IF(H487=TRUE,"Disponible","No disponible")</f>
        <v/>
      </c>
      <c r="T487">
        <f>IF(AND(ISNUMBER(I487),I487&gt;0),ROUND(F487/I487,2),"Sin volumen")</f>
        <v/>
      </c>
      <c r="U487">
        <f>IF(F487&lt;5000,"Bajo",IF(F487&lt;15000,"Medio","Alto"))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TRIM(CLEAN(PROPER(D488)))</f>
        <v/>
      </c>
      <c r="Q488" s="8">
        <f>PROPER(TRIM(SUBSTITUTE(SUBSTITUTE(SUBSTITUTE(SUBSTITUTE(E488,"TRESEMME","Tresemme"),"HEAD &amp; SHOULDERS","Head &amp; Shoulders"),"ELVIVE","Elvive"),"FRUCTIS","Fructis")))</f>
        <v/>
      </c>
      <c r="R488" s="8">
        <f>COUNTIF($D$2:$D$10000,D488)&gt;1</f>
        <v/>
      </c>
      <c r="S488" s="8">
        <f>IF(H488=TRUE,"Disponible","No disponible")</f>
        <v/>
      </c>
      <c r="T488" s="8">
        <f>IF(AND(ISNUMBER(I488),I488&gt;0),ROUND(F488/I488,2),"Sin volumen")</f>
        <v/>
      </c>
      <c r="U488" s="8">
        <f>IF(F488&lt;5000,"Bajo",IF(F488&lt;15000,"Medio","Alto"))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TRIM(CLEAN(PROPER(D489)))</f>
        <v/>
      </c>
      <c r="Q489">
        <f>PROPER(TRIM(SUBSTITUTE(SUBSTITUTE(SUBSTITUTE(SUBSTITUTE(E489,"TRESEMME","Tresemme"),"HEAD &amp; SHOULDERS","Head &amp; Shoulders"),"ELVIVE","Elvive"),"FRUCTIS","Fructis")))</f>
        <v/>
      </c>
      <c r="R489">
        <f>COUNTIF($D$2:$D$10000,D489)&gt;1</f>
        <v/>
      </c>
      <c r="S489">
        <f>IF(H489=TRUE,"Disponible","No disponible")</f>
        <v/>
      </c>
      <c r="T489">
        <f>IF(AND(ISNUMBER(I489),I489&gt;0),ROUND(F489/I489,2),"Sin volumen")</f>
        <v/>
      </c>
      <c r="U489">
        <f>IF(F489&lt;5000,"Bajo",IF(F489&lt;15000,"Medio","Alto"))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TRIM(CLEAN(PROPER(D490)))</f>
        <v/>
      </c>
      <c r="Q490" s="8">
        <f>PROPER(TRIM(SUBSTITUTE(SUBSTITUTE(SUBSTITUTE(SUBSTITUTE(E490,"TRESEMME","Tresemme"),"HEAD &amp; SHOULDERS","Head &amp; Shoulders"),"ELVIVE","Elvive"),"FRUCTIS","Fructis")))</f>
        <v/>
      </c>
      <c r="R490" s="8">
        <f>COUNTIF($D$2:$D$10000,D490)&gt;1</f>
        <v/>
      </c>
      <c r="S490" s="8">
        <f>IF(H490=TRUE,"Disponible","No disponible")</f>
        <v/>
      </c>
      <c r="T490" s="8">
        <f>IF(AND(ISNUMBER(I490),I490&gt;0),ROUND(F490/I490,2),"Sin volumen")</f>
        <v/>
      </c>
      <c r="U490" s="8">
        <f>IF(F490&lt;5000,"Bajo",IF(F490&lt;15000,"Medio","Alto"))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TRIM(CLEAN(PROPER(D491)))</f>
        <v/>
      </c>
      <c r="Q491">
        <f>PROPER(TRIM(SUBSTITUTE(SUBSTITUTE(SUBSTITUTE(SUBSTITUTE(E491,"TRESEMME","Tresemme"),"HEAD &amp; SHOULDERS","Head &amp; Shoulders"),"ELVIVE","Elvive"),"FRUCTIS","Fructis")))</f>
        <v/>
      </c>
      <c r="R491">
        <f>COUNTIF($D$2:$D$10000,D491)&gt;1</f>
        <v/>
      </c>
      <c r="S491">
        <f>IF(H491=TRUE,"Disponible","No disponible")</f>
        <v/>
      </c>
      <c r="T491">
        <f>IF(AND(ISNUMBER(I491),I491&gt;0),ROUND(F491/I491,2),"Sin volumen")</f>
        <v/>
      </c>
      <c r="U491">
        <f>IF(F491&lt;5000,"Bajo",IF(F491&lt;15000,"Medio","Alto"))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TRIM(CLEAN(PROPER(D492)))</f>
        <v/>
      </c>
      <c r="Q492" s="8">
        <f>PROPER(TRIM(SUBSTITUTE(SUBSTITUTE(SUBSTITUTE(SUBSTITUTE(E492,"TRESEMME","Tresemme"),"HEAD &amp; SHOULDERS","Head &amp; Shoulders"),"ELVIVE","Elvive"),"FRUCTIS","Fructis")))</f>
        <v/>
      </c>
      <c r="R492" s="8">
        <f>COUNTIF($D$2:$D$10000,D492)&gt;1</f>
        <v/>
      </c>
      <c r="S492" s="8">
        <f>IF(H492=TRUE,"Disponible","No disponible")</f>
        <v/>
      </c>
      <c r="T492" s="8">
        <f>IF(AND(ISNUMBER(I492),I492&gt;0),ROUND(F492/I492,2),"Sin volumen")</f>
        <v/>
      </c>
      <c r="U492" s="8">
        <f>IF(F492&lt;5000,"Bajo",IF(F492&lt;15000,"Medio","Alto"))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TRIM(CLEAN(PROPER(D493)))</f>
        <v/>
      </c>
      <c r="Q493">
        <f>PROPER(TRIM(SUBSTITUTE(SUBSTITUTE(SUBSTITUTE(SUBSTITUTE(E493,"TRESEMME","Tresemme"),"HEAD &amp; SHOULDERS","Head &amp; Shoulders"),"ELVIVE","Elvive"),"FRUCTIS","Fructis")))</f>
        <v/>
      </c>
      <c r="R493">
        <f>COUNTIF($D$2:$D$10000,D493)&gt;1</f>
        <v/>
      </c>
      <c r="S493">
        <f>IF(H493=TRUE,"Disponible","No disponible")</f>
        <v/>
      </c>
      <c r="T493">
        <f>IF(AND(ISNUMBER(I493),I493&gt;0),ROUND(F493/I493,2),"Sin volumen")</f>
        <v/>
      </c>
      <c r="U493">
        <f>IF(F493&lt;5000,"Bajo",IF(F493&lt;15000,"Medio","Alto"))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TRIM(CLEAN(PROPER(D494)))</f>
        <v/>
      </c>
      <c r="Q494" s="8">
        <f>PROPER(TRIM(SUBSTITUTE(SUBSTITUTE(SUBSTITUTE(SUBSTITUTE(E494,"TRESEMME","Tresemme"),"HEAD &amp; SHOULDERS","Head &amp; Shoulders"),"ELVIVE","Elvive"),"FRUCTIS","Fructis")))</f>
        <v/>
      </c>
      <c r="R494" s="8">
        <f>COUNTIF($D$2:$D$10000,D494)&gt;1</f>
        <v/>
      </c>
      <c r="S494" s="8">
        <f>IF(H494=TRUE,"Disponible","No disponible")</f>
        <v/>
      </c>
      <c r="T494" s="8">
        <f>IF(AND(ISNUMBER(I494),I494&gt;0),ROUND(F494/I494,2),"Sin volumen")</f>
        <v/>
      </c>
      <c r="U494" s="8">
        <f>IF(F494&lt;5000,"Bajo",IF(F494&lt;15000,"Medio","Alto"))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TRIM(CLEAN(PROPER(D495)))</f>
        <v/>
      </c>
      <c r="Q495">
        <f>PROPER(TRIM(SUBSTITUTE(SUBSTITUTE(SUBSTITUTE(SUBSTITUTE(E495,"TRESEMME","Tresemme"),"HEAD &amp; SHOULDERS","Head &amp; Shoulders"),"ELVIVE","Elvive"),"FRUCTIS","Fructis")))</f>
        <v/>
      </c>
      <c r="R495">
        <f>COUNTIF($D$2:$D$10000,D495)&gt;1</f>
        <v/>
      </c>
      <c r="S495">
        <f>IF(H495=TRUE,"Disponible","No disponible")</f>
        <v/>
      </c>
      <c r="T495">
        <f>IF(AND(ISNUMBER(I495),I495&gt;0),ROUND(F495/I495,2),"Sin volumen")</f>
        <v/>
      </c>
      <c r="U495">
        <f>IF(F495&lt;5000,"Bajo",IF(F495&lt;15000,"Medio","Alto"))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TRIM(CLEAN(PROPER(D496)))</f>
        <v/>
      </c>
      <c r="Q496" s="8">
        <f>PROPER(TRIM(SUBSTITUTE(SUBSTITUTE(SUBSTITUTE(SUBSTITUTE(E496,"TRESEMME","Tresemme"),"HEAD &amp; SHOULDERS","Head &amp; Shoulders"),"ELVIVE","Elvive"),"FRUCTIS","Fructis")))</f>
        <v/>
      </c>
      <c r="R496" s="8">
        <f>COUNTIF($D$2:$D$10000,D496)&gt;1</f>
        <v/>
      </c>
      <c r="S496" s="8">
        <f>IF(H496=TRUE,"Disponible","No disponible")</f>
        <v/>
      </c>
      <c r="T496" s="8">
        <f>IF(AND(ISNUMBER(I496),I496&gt;0),ROUND(F496/I496,2),"Sin volumen")</f>
        <v/>
      </c>
      <c r="U496" s="8">
        <f>IF(F496&lt;5000,"Bajo",IF(F496&lt;15000,"Medio","Alto"))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TRIM(CLEAN(PROPER(D497)))</f>
        <v/>
      </c>
      <c r="Q497">
        <f>PROPER(TRIM(SUBSTITUTE(SUBSTITUTE(SUBSTITUTE(SUBSTITUTE(E497,"TRESEMME","Tresemme"),"HEAD &amp; SHOULDERS","Head &amp; Shoulders"),"ELVIVE","Elvive"),"FRUCTIS","Fructis")))</f>
        <v/>
      </c>
      <c r="R497">
        <f>COUNTIF($D$2:$D$10000,D497)&gt;1</f>
        <v/>
      </c>
      <c r="S497">
        <f>IF(H497=TRUE,"Disponible","No disponible")</f>
        <v/>
      </c>
      <c r="T497">
        <f>IF(AND(ISNUMBER(I497),I497&gt;0),ROUND(F497/I497,2),"Sin volumen")</f>
        <v/>
      </c>
      <c r="U497">
        <f>IF(F497&lt;5000,"Bajo",IF(F497&lt;15000,"Medio","Alto"))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TRIM(CLEAN(PROPER(D498)))</f>
        <v/>
      </c>
      <c r="Q498" s="8">
        <f>PROPER(TRIM(SUBSTITUTE(SUBSTITUTE(SUBSTITUTE(SUBSTITUTE(E498,"TRESEMME","Tresemme"),"HEAD &amp; SHOULDERS","Head &amp; Shoulders"),"ELVIVE","Elvive"),"FRUCTIS","Fructis")))</f>
        <v/>
      </c>
      <c r="R498" s="8">
        <f>COUNTIF($D$2:$D$10000,D498)&gt;1</f>
        <v/>
      </c>
      <c r="S498" s="8">
        <f>IF(H498=TRUE,"Disponible","No disponible")</f>
        <v/>
      </c>
      <c r="T498" s="8">
        <f>IF(AND(ISNUMBER(I498),I498&gt;0),ROUND(F498/I498,2),"Sin volumen")</f>
        <v/>
      </c>
      <c r="U498" s="8">
        <f>IF(F498&lt;5000,"Bajo",IF(F498&lt;15000,"Medio","Alto"))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TRIM(CLEAN(PROPER(D499)))</f>
        <v/>
      </c>
      <c r="Q499">
        <f>PROPER(TRIM(SUBSTITUTE(SUBSTITUTE(SUBSTITUTE(SUBSTITUTE(E499,"TRESEMME","Tresemme"),"HEAD &amp; SHOULDERS","Head &amp; Shoulders"),"ELVIVE","Elvive"),"FRUCTIS","Fructis")))</f>
        <v/>
      </c>
      <c r="R499">
        <f>COUNTIF($D$2:$D$10000,D499)&gt;1</f>
        <v/>
      </c>
      <c r="S499">
        <f>IF(H499=TRUE,"Disponible","No disponible")</f>
        <v/>
      </c>
      <c r="T499">
        <f>IF(AND(ISNUMBER(I499),I499&gt;0),ROUND(F499/I499,2),"Sin volumen")</f>
        <v/>
      </c>
      <c r="U499">
        <f>IF(F499&lt;5000,"Bajo",IF(F499&lt;15000,"Medio","Alto"))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TRIM(CLEAN(PROPER(D500)))</f>
        <v/>
      </c>
      <c r="Q500" s="8">
        <f>PROPER(TRIM(SUBSTITUTE(SUBSTITUTE(SUBSTITUTE(SUBSTITUTE(E500,"TRESEMME","Tresemme"),"HEAD &amp; SHOULDERS","Head &amp; Shoulders"),"ELVIVE","Elvive"),"FRUCTIS","Fructis")))</f>
        <v/>
      </c>
      <c r="R500" s="8">
        <f>COUNTIF($D$2:$D$10000,D500)&gt;1</f>
        <v/>
      </c>
      <c r="S500" s="8">
        <f>IF(H500=TRUE,"Disponible","No disponible")</f>
        <v/>
      </c>
      <c r="T500" s="8">
        <f>IF(AND(ISNUMBER(I500),I500&gt;0),ROUND(F500/I500,2),"Sin volumen")</f>
        <v/>
      </c>
      <c r="U500" s="8">
        <f>IF(F500&lt;5000,"Bajo",IF(F500&lt;15000,"Medio","Alto"))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TRIM(CLEAN(PROPER(D501)))</f>
        <v/>
      </c>
      <c r="Q501">
        <f>PROPER(TRIM(SUBSTITUTE(SUBSTITUTE(SUBSTITUTE(SUBSTITUTE(E501,"TRESEMME","Tresemme"),"HEAD &amp; SHOULDERS","Head &amp; Shoulders"),"ELVIVE","Elvive"),"FRUCTIS","Fructis")))</f>
        <v/>
      </c>
      <c r="R501">
        <f>COUNTIF($D$2:$D$10000,D501)&gt;1</f>
        <v/>
      </c>
      <c r="S501">
        <f>IF(H501=TRUE,"Disponible","No disponible")</f>
        <v/>
      </c>
      <c r="T501">
        <f>IF(AND(ISNUMBER(I501),I501&gt;0),ROUND(F501/I501,2),"Sin volumen")</f>
        <v/>
      </c>
      <c r="U501">
        <f>IF(F501&lt;5000,"Bajo",IF(F501&lt;15000,"Medio","Alto"))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TRIM(CLEAN(PROPER(D502)))</f>
        <v/>
      </c>
      <c r="Q502" s="8">
        <f>PROPER(TRIM(SUBSTITUTE(SUBSTITUTE(SUBSTITUTE(SUBSTITUTE(E502,"TRESEMME","Tresemme"),"HEAD &amp; SHOULDERS","Head &amp; Shoulders"),"ELVIVE","Elvive"),"FRUCTIS","Fructis")))</f>
        <v/>
      </c>
      <c r="R502" s="8">
        <f>COUNTIF($D$2:$D$10000,D502)&gt;1</f>
        <v/>
      </c>
      <c r="S502" s="8">
        <f>IF(H502=TRUE,"Disponible","No disponible")</f>
        <v/>
      </c>
      <c r="T502" s="8">
        <f>IF(AND(ISNUMBER(I502),I502&gt;0),ROUND(F502/I502,2),"Sin volumen")</f>
        <v/>
      </c>
      <c r="U502" s="8">
        <f>IF(F502&lt;5000,"Bajo",IF(F502&lt;15000,"Medio","Alto"))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TRIM(CLEAN(PROPER(D503)))</f>
        <v/>
      </c>
      <c r="Q503">
        <f>PROPER(TRIM(SUBSTITUTE(SUBSTITUTE(SUBSTITUTE(SUBSTITUTE(E503,"TRESEMME","Tresemme"),"HEAD &amp; SHOULDERS","Head &amp; Shoulders"),"ELVIVE","Elvive"),"FRUCTIS","Fructis")))</f>
        <v/>
      </c>
      <c r="R503">
        <f>COUNTIF($D$2:$D$10000,D503)&gt;1</f>
        <v/>
      </c>
      <c r="S503">
        <f>IF(H503=TRUE,"Disponible","No disponible")</f>
        <v/>
      </c>
      <c r="T503">
        <f>IF(AND(ISNUMBER(I503),I503&gt;0),ROUND(F503/I503,2),"Sin volumen")</f>
        <v/>
      </c>
      <c r="U503">
        <f>IF(F503&lt;5000,"Bajo",IF(F503&lt;15000,"Medio","Alto"))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TRIM(CLEAN(PROPER(D504)))</f>
        <v/>
      </c>
      <c r="Q504" s="8">
        <f>PROPER(TRIM(SUBSTITUTE(SUBSTITUTE(SUBSTITUTE(SUBSTITUTE(E504,"TRESEMME","Tresemme"),"HEAD &amp; SHOULDERS","Head &amp; Shoulders"),"ELVIVE","Elvive"),"FRUCTIS","Fructis")))</f>
        <v/>
      </c>
      <c r="R504" s="8">
        <f>COUNTIF($D$2:$D$10000,D504)&gt;1</f>
        <v/>
      </c>
      <c r="S504" s="8">
        <f>IF(H504=TRUE,"Disponible","No disponible")</f>
        <v/>
      </c>
      <c r="T504" s="8">
        <f>IF(AND(ISNUMBER(I504),I504&gt;0),ROUND(F504/I504,2),"Sin volumen")</f>
        <v/>
      </c>
      <c r="U504" s="8">
        <f>IF(F504&lt;5000,"Bajo",IF(F504&lt;15000,"Medio","Alto"))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TRIM(CLEAN(PROPER(D505)))</f>
        <v/>
      </c>
      <c r="Q505">
        <f>PROPER(TRIM(SUBSTITUTE(SUBSTITUTE(SUBSTITUTE(SUBSTITUTE(E505,"TRESEMME","Tresemme"),"HEAD &amp; SHOULDERS","Head &amp; Shoulders"),"ELVIVE","Elvive"),"FRUCTIS","Fructis")))</f>
        <v/>
      </c>
      <c r="R505">
        <f>COUNTIF($D$2:$D$10000,D505)&gt;1</f>
        <v/>
      </c>
      <c r="S505">
        <f>IF(H505=TRUE,"Disponible","No disponible")</f>
        <v/>
      </c>
      <c r="T505">
        <f>IF(AND(ISNUMBER(I505),I505&gt;0),ROUND(F505/I505,2),"Sin volumen")</f>
        <v/>
      </c>
      <c r="U505">
        <f>IF(F505&lt;5000,"Bajo",IF(F505&lt;15000,"Medio","Alto"))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TRIM(CLEAN(PROPER(D506)))</f>
        <v/>
      </c>
      <c r="Q506" s="8">
        <f>PROPER(TRIM(SUBSTITUTE(SUBSTITUTE(SUBSTITUTE(SUBSTITUTE(E506,"TRESEMME","Tresemme"),"HEAD &amp; SHOULDERS","Head &amp; Shoulders"),"ELVIVE","Elvive"),"FRUCTIS","Fructis")))</f>
        <v/>
      </c>
      <c r="R506" s="8">
        <f>COUNTIF($D$2:$D$10000,D506)&gt;1</f>
        <v/>
      </c>
      <c r="S506" s="8">
        <f>IF(H506=TRUE,"Disponible","No disponible")</f>
        <v/>
      </c>
      <c r="T506" s="8">
        <f>IF(AND(ISNUMBER(I506),I506&gt;0),ROUND(F506/I506,2),"Sin volumen")</f>
        <v/>
      </c>
      <c r="U506" s="8">
        <f>IF(F506&lt;5000,"Bajo",IF(F506&lt;15000,"Medio","Alto"))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TRIM(CLEAN(PROPER(D507)))</f>
        <v/>
      </c>
      <c r="Q507">
        <f>PROPER(TRIM(SUBSTITUTE(SUBSTITUTE(SUBSTITUTE(SUBSTITUTE(E507,"TRESEMME","Tresemme"),"HEAD &amp; SHOULDERS","Head &amp; Shoulders"),"ELVIVE","Elvive"),"FRUCTIS","Fructis")))</f>
        <v/>
      </c>
      <c r="R507">
        <f>COUNTIF($D$2:$D$10000,D507)&gt;1</f>
        <v/>
      </c>
      <c r="S507">
        <f>IF(H507=TRUE,"Disponible","No disponible")</f>
        <v/>
      </c>
      <c r="T507">
        <f>IF(AND(ISNUMBER(I507),I507&gt;0),ROUND(F507/I507,2),"Sin volumen")</f>
        <v/>
      </c>
      <c r="U507">
        <f>IF(F507&lt;5000,"Bajo",IF(F507&lt;15000,"Medio","Alto"))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TRIM(CLEAN(PROPER(D508)))</f>
        <v/>
      </c>
      <c r="Q508" s="8">
        <f>PROPER(TRIM(SUBSTITUTE(SUBSTITUTE(SUBSTITUTE(SUBSTITUTE(E508,"TRESEMME","Tresemme"),"HEAD &amp; SHOULDERS","Head &amp; Shoulders"),"ELVIVE","Elvive"),"FRUCTIS","Fructis")))</f>
        <v/>
      </c>
      <c r="R508" s="8">
        <f>COUNTIF($D$2:$D$10000,D508)&gt;1</f>
        <v/>
      </c>
      <c r="S508" s="8">
        <f>IF(H508=TRUE,"Disponible","No disponible")</f>
        <v/>
      </c>
      <c r="T508" s="8">
        <f>IF(AND(ISNUMBER(I508),I508&gt;0),ROUND(F508/I508,2),"Sin volumen")</f>
        <v/>
      </c>
      <c r="U508" s="8">
        <f>IF(F508&lt;5000,"Bajo",IF(F508&lt;15000,"Medio","Alto"))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TRIM(CLEAN(PROPER(D509)))</f>
        <v/>
      </c>
      <c r="Q509">
        <f>PROPER(TRIM(SUBSTITUTE(SUBSTITUTE(SUBSTITUTE(SUBSTITUTE(E509,"TRESEMME","Tresemme"),"HEAD &amp; SHOULDERS","Head &amp; Shoulders"),"ELVIVE","Elvive"),"FRUCTIS","Fructis")))</f>
        <v/>
      </c>
      <c r="R509">
        <f>COUNTIF($D$2:$D$10000,D509)&gt;1</f>
        <v/>
      </c>
      <c r="S509">
        <f>IF(H509=TRUE,"Disponible","No disponible")</f>
        <v/>
      </c>
      <c r="T509">
        <f>IF(AND(ISNUMBER(I509),I509&gt;0),ROUND(F509/I509,2),"Sin volumen")</f>
        <v/>
      </c>
      <c r="U509">
        <f>IF(F509&lt;5000,"Bajo",IF(F509&lt;15000,"Medio","Alto"))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TRIM(CLEAN(PROPER(D510)))</f>
        <v/>
      </c>
      <c r="Q510" s="8">
        <f>PROPER(TRIM(SUBSTITUTE(SUBSTITUTE(SUBSTITUTE(SUBSTITUTE(E510,"TRESEMME","Tresemme"),"HEAD &amp; SHOULDERS","Head &amp; Shoulders"),"ELVIVE","Elvive"),"FRUCTIS","Fructis")))</f>
        <v/>
      </c>
      <c r="R510" s="8">
        <f>COUNTIF($D$2:$D$10000,D510)&gt;1</f>
        <v/>
      </c>
      <c r="S510" s="8">
        <f>IF(H510=TRUE,"Disponible","No disponible")</f>
        <v/>
      </c>
      <c r="T510" s="8">
        <f>IF(AND(ISNUMBER(I510),I510&gt;0),ROUND(F510/I510,2),"Sin volumen")</f>
        <v/>
      </c>
      <c r="U510" s="8">
        <f>IF(F510&lt;5000,"Bajo",IF(F510&lt;15000,"Medio","Alto"))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TRIM(CLEAN(PROPER(D511)))</f>
        <v/>
      </c>
      <c r="Q511">
        <f>PROPER(TRIM(SUBSTITUTE(SUBSTITUTE(SUBSTITUTE(SUBSTITUTE(E511,"TRESEMME","Tresemme"),"HEAD &amp; SHOULDERS","Head &amp; Shoulders"),"ELVIVE","Elvive"),"FRUCTIS","Fructis")))</f>
        <v/>
      </c>
      <c r="R511">
        <f>COUNTIF($D$2:$D$10000,D511)&gt;1</f>
        <v/>
      </c>
      <c r="S511">
        <f>IF(H511=TRUE,"Disponible","No disponible")</f>
        <v/>
      </c>
      <c r="T511">
        <f>IF(AND(ISNUMBER(I511),I511&gt;0),ROUND(F511/I511,2),"Sin volumen")</f>
        <v/>
      </c>
      <c r="U511">
        <f>IF(F511&lt;5000,"Bajo",IF(F511&lt;15000,"Medio","Alto"))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TRIM(CLEAN(PROPER(D512)))</f>
        <v/>
      </c>
      <c r="Q512" s="8">
        <f>PROPER(TRIM(SUBSTITUTE(SUBSTITUTE(SUBSTITUTE(SUBSTITUTE(E512,"TRESEMME","Tresemme"),"HEAD &amp; SHOULDERS","Head &amp; Shoulders"),"ELVIVE","Elvive"),"FRUCTIS","Fructis")))</f>
        <v/>
      </c>
      <c r="R512" s="8">
        <f>COUNTIF($D$2:$D$10000,D512)&gt;1</f>
        <v/>
      </c>
      <c r="S512" s="8">
        <f>IF(H512=TRUE,"Disponible","No disponible")</f>
        <v/>
      </c>
      <c r="T512" s="8">
        <f>IF(AND(ISNUMBER(I512),I512&gt;0),ROUND(F512/I512,2),"Sin volumen")</f>
        <v/>
      </c>
      <c r="U512" s="8">
        <f>IF(F512&lt;5000,"Bajo",IF(F512&lt;15000,"Medio","Alto"))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TRIM(CLEAN(PROPER(D513)))</f>
        <v/>
      </c>
      <c r="Q513">
        <f>PROPER(TRIM(SUBSTITUTE(SUBSTITUTE(SUBSTITUTE(SUBSTITUTE(E513,"TRESEMME","Tresemme"),"HEAD &amp; SHOULDERS","Head &amp; Shoulders"),"ELVIVE","Elvive"),"FRUCTIS","Fructis")))</f>
        <v/>
      </c>
      <c r="R513">
        <f>COUNTIF($D$2:$D$10000,D513)&gt;1</f>
        <v/>
      </c>
      <c r="S513">
        <f>IF(H513=TRUE,"Disponible","No disponible")</f>
        <v/>
      </c>
      <c r="T513">
        <f>IF(AND(ISNUMBER(I513),I513&gt;0),ROUND(F513/I513,2),"Sin volumen")</f>
        <v/>
      </c>
      <c r="U513">
        <f>IF(F513&lt;5000,"Bajo",IF(F513&lt;15000,"Medio","Alto"))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TRIM(CLEAN(PROPER(D514)))</f>
        <v/>
      </c>
      <c r="Q514" s="8">
        <f>PROPER(TRIM(SUBSTITUTE(SUBSTITUTE(SUBSTITUTE(SUBSTITUTE(E514,"TRESEMME","Tresemme"),"HEAD &amp; SHOULDERS","Head &amp; Shoulders"),"ELVIVE","Elvive"),"FRUCTIS","Fructis")))</f>
        <v/>
      </c>
      <c r="R514" s="8">
        <f>COUNTIF($D$2:$D$10000,D514)&gt;1</f>
        <v/>
      </c>
      <c r="S514" s="8">
        <f>IF(H514=TRUE,"Disponible","No disponible")</f>
        <v/>
      </c>
      <c r="T514" s="8">
        <f>IF(AND(ISNUMBER(I514),I514&gt;0),ROUND(F514/I514,2),"Sin volumen")</f>
        <v/>
      </c>
      <c r="U514" s="8">
        <f>IF(F514&lt;5000,"Bajo",IF(F514&lt;15000,"Medio","Alto"))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TRIM(CLEAN(PROPER(D515)))</f>
        <v/>
      </c>
      <c r="Q515">
        <f>PROPER(TRIM(SUBSTITUTE(SUBSTITUTE(SUBSTITUTE(SUBSTITUTE(E515,"TRESEMME","Tresemme"),"HEAD &amp; SHOULDERS","Head &amp; Shoulders"),"ELVIVE","Elvive"),"FRUCTIS","Fructis")))</f>
        <v/>
      </c>
      <c r="R515">
        <f>COUNTIF($D$2:$D$10000,D515)&gt;1</f>
        <v/>
      </c>
      <c r="S515">
        <f>IF(H515=TRUE,"Disponible","No disponible")</f>
        <v/>
      </c>
      <c r="T515">
        <f>IF(AND(ISNUMBER(I515),I515&gt;0),ROUND(F515/I515,2),"Sin volumen")</f>
        <v/>
      </c>
      <c r="U515">
        <f>IF(F515&lt;5000,"Bajo",IF(F515&lt;15000,"Medio","Alto"))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TRIM(CLEAN(PROPER(D516)))</f>
        <v/>
      </c>
      <c r="Q516" s="8">
        <f>PROPER(TRIM(SUBSTITUTE(SUBSTITUTE(SUBSTITUTE(SUBSTITUTE(E516,"TRESEMME","Tresemme"),"HEAD &amp; SHOULDERS","Head &amp; Shoulders"),"ELVIVE","Elvive"),"FRUCTIS","Fructis")))</f>
        <v/>
      </c>
      <c r="R516" s="8">
        <f>COUNTIF($D$2:$D$10000,D516)&gt;1</f>
        <v/>
      </c>
      <c r="S516" s="8">
        <f>IF(H516=TRUE,"Disponible","No disponible")</f>
        <v/>
      </c>
      <c r="T516" s="8">
        <f>IF(AND(ISNUMBER(I516),I516&gt;0),ROUND(F516/I516,2),"Sin volumen")</f>
        <v/>
      </c>
      <c r="U516" s="8">
        <f>IF(F516&lt;5000,"Bajo",IF(F516&lt;15000,"Medio","Alto"))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TRIM(CLEAN(PROPER(D517)))</f>
        <v/>
      </c>
      <c r="Q517">
        <f>PROPER(TRIM(SUBSTITUTE(SUBSTITUTE(SUBSTITUTE(SUBSTITUTE(E517,"TRESEMME","Tresemme"),"HEAD &amp; SHOULDERS","Head &amp; Shoulders"),"ELVIVE","Elvive"),"FRUCTIS","Fructis")))</f>
        <v/>
      </c>
      <c r="R517">
        <f>COUNTIF($D$2:$D$10000,D517)&gt;1</f>
        <v/>
      </c>
      <c r="S517">
        <f>IF(H517=TRUE,"Disponible","No disponible")</f>
        <v/>
      </c>
      <c r="T517">
        <f>IF(AND(ISNUMBER(I517),I517&gt;0),ROUND(F517/I517,2),"Sin volumen")</f>
        <v/>
      </c>
      <c r="U517">
        <f>IF(F517&lt;5000,"Bajo",IF(F517&lt;15000,"Medio","Alto"))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TRIM(CLEAN(PROPER(D518)))</f>
        <v/>
      </c>
      <c r="Q518" s="8">
        <f>PROPER(TRIM(SUBSTITUTE(SUBSTITUTE(SUBSTITUTE(SUBSTITUTE(E518,"TRESEMME","Tresemme"),"HEAD &amp; SHOULDERS","Head &amp; Shoulders"),"ELVIVE","Elvive"),"FRUCTIS","Fructis")))</f>
        <v/>
      </c>
      <c r="R518" s="8">
        <f>COUNTIF($D$2:$D$10000,D518)&gt;1</f>
        <v/>
      </c>
      <c r="S518" s="8">
        <f>IF(H518=TRUE,"Disponible","No disponible")</f>
        <v/>
      </c>
      <c r="T518" s="8">
        <f>IF(AND(ISNUMBER(I518),I518&gt;0),ROUND(F518/I518,2),"Sin volumen")</f>
        <v/>
      </c>
      <c r="U518" s="8">
        <f>IF(F518&lt;5000,"Bajo",IF(F518&lt;15000,"Medio","Alto"))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TRIM(CLEAN(PROPER(D519)))</f>
        <v/>
      </c>
      <c r="Q519">
        <f>PROPER(TRIM(SUBSTITUTE(SUBSTITUTE(SUBSTITUTE(SUBSTITUTE(E519,"TRESEMME","Tresemme"),"HEAD &amp; SHOULDERS","Head &amp; Shoulders"),"ELVIVE","Elvive"),"FRUCTIS","Fructis")))</f>
        <v/>
      </c>
      <c r="R519">
        <f>COUNTIF($D$2:$D$10000,D519)&gt;1</f>
        <v/>
      </c>
      <c r="S519">
        <f>IF(H519=TRUE,"Disponible","No disponible")</f>
        <v/>
      </c>
      <c r="T519">
        <f>IF(AND(ISNUMBER(I519),I519&gt;0),ROUND(F519/I519,2),"Sin volumen")</f>
        <v/>
      </c>
      <c r="U519">
        <f>IF(F519&lt;5000,"Bajo",IF(F519&lt;15000,"Medio","Alto"))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TRIM(CLEAN(PROPER(D520)))</f>
        <v/>
      </c>
      <c r="Q520" s="8">
        <f>PROPER(TRIM(SUBSTITUTE(SUBSTITUTE(SUBSTITUTE(SUBSTITUTE(E520,"TRESEMME","Tresemme"),"HEAD &amp; SHOULDERS","Head &amp; Shoulders"),"ELVIVE","Elvive"),"FRUCTIS","Fructis")))</f>
        <v/>
      </c>
      <c r="R520" s="8">
        <f>COUNTIF($D$2:$D$10000,D520)&gt;1</f>
        <v/>
      </c>
      <c r="S520" s="8">
        <f>IF(H520=TRUE,"Disponible","No disponible")</f>
        <v/>
      </c>
      <c r="T520" s="8">
        <f>IF(AND(ISNUMBER(I520),I520&gt;0),ROUND(F520/I520,2),"Sin volumen")</f>
        <v/>
      </c>
      <c r="U520" s="8">
        <f>IF(F520&lt;5000,"Bajo",IF(F520&lt;15000,"Medio","Alto"))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TRIM(CLEAN(PROPER(D521)))</f>
        <v/>
      </c>
      <c r="Q521">
        <f>PROPER(TRIM(SUBSTITUTE(SUBSTITUTE(SUBSTITUTE(SUBSTITUTE(E521,"TRESEMME","Tresemme"),"HEAD &amp; SHOULDERS","Head &amp; Shoulders"),"ELVIVE","Elvive"),"FRUCTIS","Fructis")))</f>
        <v/>
      </c>
      <c r="R521">
        <f>COUNTIF($D$2:$D$10000,D521)&gt;1</f>
        <v/>
      </c>
      <c r="S521">
        <f>IF(H521=TRUE,"Disponible","No disponible")</f>
        <v/>
      </c>
      <c r="T521">
        <f>IF(AND(ISNUMBER(I521),I521&gt;0),ROUND(F521/I521,2),"Sin volumen")</f>
        <v/>
      </c>
      <c r="U521">
        <f>IF(F521&lt;5000,"Bajo",IF(F521&lt;15000,"Medio","Alto"))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TRIM(CLEAN(PROPER(D522)))</f>
        <v/>
      </c>
      <c r="Q522" s="8">
        <f>PROPER(TRIM(SUBSTITUTE(SUBSTITUTE(SUBSTITUTE(SUBSTITUTE(E522,"TRESEMME","Tresemme"),"HEAD &amp; SHOULDERS","Head &amp; Shoulders"),"ELVIVE","Elvive"),"FRUCTIS","Fructis")))</f>
        <v/>
      </c>
      <c r="R522" s="8">
        <f>COUNTIF($D$2:$D$10000,D522)&gt;1</f>
        <v/>
      </c>
      <c r="S522" s="8">
        <f>IF(H522=TRUE,"Disponible","No disponible")</f>
        <v/>
      </c>
      <c r="T522" s="8">
        <f>IF(AND(ISNUMBER(I522),I522&gt;0),ROUND(F522/I522,2),"Sin volumen")</f>
        <v/>
      </c>
      <c r="U522" s="8">
        <f>IF(F522&lt;5000,"Bajo",IF(F522&lt;15000,"Medio","Alto"))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TRIM(CLEAN(PROPER(D523)))</f>
        <v/>
      </c>
      <c r="Q523">
        <f>PROPER(TRIM(SUBSTITUTE(SUBSTITUTE(SUBSTITUTE(SUBSTITUTE(E523,"TRESEMME","Tresemme"),"HEAD &amp; SHOULDERS","Head &amp; Shoulders"),"ELVIVE","Elvive"),"FRUCTIS","Fructis")))</f>
        <v/>
      </c>
      <c r="R523">
        <f>COUNTIF($D$2:$D$10000,D523)&gt;1</f>
        <v/>
      </c>
      <c r="S523">
        <f>IF(H523=TRUE,"Disponible","No disponible")</f>
        <v/>
      </c>
      <c r="T523">
        <f>IF(AND(ISNUMBER(I523),I523&gt;0),ROUND(F523/I523,2),"Sin volumen")</f>
        <v/>
      </c>
      <c r="U523">
        <f>IF(F523&lt;5000,"Bajo",IF(F523&lt;15000,"Medio","Alto"))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TRIM(CLEAN(PROPER(D524)))</f>
        <v/>
      </c>
      <c r="Q524" s="8">
        <f>PROPER(TRIM(SUBSTITUTE(SUBSTITUTE(SUBSTITUTE(SUBSTITUTE(E524,"TRESEMME","Tresemme"),"HEAD &amp; SHOULDERS","Head &amp; Shoulders"),"ELVIVE","Elvive"),"FRUCTIS","Fructis")))</f>
        <v/>
      </c>
      <c r="R524" s="8">
        <f>COUNTIF($D$2:$D$10000,D524)&gt;1</f>
        <v/>
      </c>
      <c r="S524" s="8">
        <f>IF(H524=TRUE,"Disponible","No disponible")</f>
        <v/>
      </c>
      <c r="T524" s="8">
        <f>IF(AND(ISNUMBER(I524),I524&gt;0),ROUND(F524/I524,2),"Sin volumen")</f>
        <v/>
      </c>
      <c r="U524" s="8">
        <f>IF(F524&lt;5000,"Bajo",IF(F524&lt;15000,"Medio","Alto"))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TRIM(CLEAN(PROPER(D525)))</f>
        <v/>
      </c>
      <c r="Q525">
        <f>PROPER(TRIM(SUBSTITUTE(SUBSTITUTE(SUBSTITUTE(SUBSTITUTE(E525,"TRESEMME","Tresemme"),"HEAD &amp; SHOULDERS","Head &amp; Shoulders"),"ELVIVE","Elvive"),"FRUCTIS","Fructis")))</f>
        <v/>
      </c>
      <c r="R525">
        <f>COUNTIF($D$2:$D$10000,D525)&gt;1</f>
        <v/>
      </c>
      <c r="S525">
        <f>IF(H525=TRUE,"Disponible","No disponible")</f>
        <v/>
      </c>
      <c r="T525">
        <f>IF(AND(ISNUMBER(I525),I525&gt;0),ROUND(F525/I525,2),"Sin volumen")</f>
        <v/>
      </c>
      <c r="U525">
        <f>IF(F525&lt;5000,"Bajo",IF(F525&lt;15000,"Medio","Alto"))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TRIM(CLEAN(PROPER(D526)))</f>
        <v/>
      </c>
      <c r="Q526" s="8">
        <f>PROPER(TRIM(SUBSTITUTE(SUBSTITUTE(SUBSTITUTE(SUBSTITUTE(E526,"TRESEMME","Tresemme"),"HEAD &amp; SHOULDERS","Head &amp; Shoulders"),"ELVIVE","Elvive"),"FRUCTIS","Fructis")))</f>
        <v/>
      </c>
      <c r="R526" s="8">
        <f>COUNTIF($D$2:$D$10000,D526)&gt;1</f>
        <v/>
      </c>
      <c r="S526" s="8">
        <f>IF(H526=TRUE,"Disponible","No disponible")</f>
        <v/>
      </c>
      <c r="T526" s="8">
        <f>IF(AND(ISNUMBER(I526),I526&gt;0),ROUND(F526/I526,2),"Sin volumen")</f>
        <v/>
      </c>
      <c r="U526" s="8">
        <f>IF(F526&lt;5000,"Bajo",IF(F526&lt;15000,"Medio","Alto"))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TRIM(CLEAN(PROPER(D527)))</f>
        <v/>
      </c>
      <c r="Q527">
        <f>PROPER(TRIM(SUBSTITUTE(SUBSTITUTE(SUBSTITUTE(SUBSTITUTE(E527,"TRESEMME","Tresemme"),"HEAD &amp; SHOULDERS","Head &amp; Shoulders"),"ELVIVE","Elvive"),"FRUCTIS","Fructis")))</f>
        <v/>
      </c>
      <c r="R527">
        <f>COUNTIF($D$2:$D$10000,D527)&gt;1</f>
        <v/>
      </c>
      <c r="S527">
        <f>IF(H527=TRUE,"Disponible","No disponible")</f>
        <v/>
      </c>
      <c r="T527">
        <f>IF(AND(ISNUMBER(I527),I527&gt;0),ROUND(F527/I527,2),"Sin volumen")</f>
        <v/>
      </c>
      <c r="U527">
        <f>IF(F527&lt;5000,"Bajo",IF(F527&lt;15000,"Medio","Alto"))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TRIM(CLEAN(PROPER(D528)))</f>
        <v/>
      </c>
      <c r="Q528" s="8">
        <f>PROPER(TRIM(SUBSTITUTE(SUBSTITUTE(SUBSTITUTE(SUBSTITUTE(E528,"TRESEMME","Tresemme"),"HEAD &amp; SHOULDERS","Head &amp; Shoulders"),"ELVIVE","Elvive"),"FRUCTIS","Fructis")))</f>
        <v/>
      </c>
      <c r="R528" s="8">
        <f>COUNTIF($D$2:$D$10000,D528)&gt;1</f>
        <v/>
      </c>
      <c r="S528" s="8">
        <f>IF(H528=TRUE,"Disponible","No disponible")</f>
        <v/>
      </c>
      <c r="T528" s="8">
        <f>IF(AND(ISNUMBER(I528),I528&gt;0),ROUND(F528/I528,2),"Sin volumen")</f>
        <v/>
      </c>
      <c r="U528" s="8">
        <f>IF(F528&lt;5000,"Bajo",IF(F528&lt;15000,"Medio","Alto"))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TRIM(CLEAN(PROPER(D529)))</f>
        <v/>
      </c>
      <c r="Q529">
        <f>PROPER(TRIM(SUBSTITUTE(SUBSTITUTE(SUBSTITUTE(SUBSTITUTE(E529,"TRESEMME","Tresemme"),"HEAD &amp; SHOULDERS","Head &amp; Shoulders"),"ELVIVE","Elvive"),"FRUCTIS","Fructis")))</f>
        <v/>
      </c>
      <c r="R529">
        <f>COUNTIF($D$2:$D$10000,D529)&gt;1</f>
        <v/>
      </c>
      <c r="S529">
        <f>IF(H529=TRUE,"Disponible","No disponible")</f>
        <v/>
      </c>
      <c r="T529">
        <f>IF(AND(ISNUMBER(I529),I529&gt;0),ROUND(F529/I529,2),"Sin volumen")</f>
        <v/>
      </c>
      <c r="U529">
        <f>IF(F529&lt;5000,"Bajo",IF(F529&lt;15000,"Medio","Alto"))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TRIM(CLEAN(PROPER(D530)))</f>
        <v/>
      </c>
      <c r="Q530" s="8">
        <f>PROPER(TRIM(SUBSTITUTE(SUBSTITUTE(SUBSTITUTE(SUBSTITUTE(E530,"TRESEMME","Tresemme"),"HEAD &amp; SHOULDERS","Head &amp; Shoulders"),"ELVIVE","Elvive"),"FRUCTIS","Fructis")))</f>
        <v/>
      </c>
      <c r="R530" s="8">
        <f>COUNTIF($D$2:$D$10000,D530)&gt;1</f>
        <v/>
      </c>
      <c r="S530" s="8">
        <f>IF(H530=TRUE,"Disponible","No disponible")</f>
        <v/>
      </c>
      <c r="T530" s="8">
        <f>IF(AND(ISNUMBER(I530),I530&gt;0),ROUND(F530/I530,2),"Sin volumen")</f>
        <v/>
      </c>
      <c r="U530" s="8">
        <f>IF(F530&lt;5000,"Bajo",IF(F530&lt;15000,"Medio","Alto"))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TRIM(CLEAN(PROPER(D531)))</f>
        <v/>
      </c>
      <c r="Q531">
        <f>PROPER(TRIM(SUBSTITUTE(SUBSTITUTE(SUBSTITUTE(SUBSTITUTE(E531,"TRESEMME","Tresemme"),"HEAD &amp; SHOULDERS","Head &amp; Shoulders"),"ELVIVE","Elvive"),"FRUCTIS","Fructis")))</f>
        <v/>
      </c>
      <c r="R531">
        <f>COUNTIF($D$2:$D$10000,D531)&gt;1</f>
        <v/>
      </c>
      <c r="S531">
        <f>IF(H531=TRUE,"Disponible","No disponible")</f>
        <v/>
      </c>
      <c r="T531">
        <f>IF(AND(ISNUMBER(I531),I531&gt;0),ROUND(F531/I531,2),"Sin volumen")</f>
        <v/>
      </c>
      <c r="U531">
        <f>IF(F531&lt;5000,"Bajo",IF(F531&lt;15000,"Medio","Alto"))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TRIM(CLEAN(PROPER(D532)))</f>
        <v/>
      </c>
      <c r="Q532" s="8">
        <f>PROPER(TRIM(SUBSTITUTE(SUBSTITUTE(SUBSTITUTE(SUBSTITUTE(E532,"TRESEMME","Tresemme"),"HEAD &amp; SHOULDERS","Head &amp; Shoulders"),"ELVIVE","Elvive"),"FRUCTIS","Fructis")))</f>
        <v/>
      </c>
      <c r="R532" s="8">
        <f>COUNTIF($D$2:$D$10000,D532)&gt;1</f>
        <v/>
      </c>
      <c r="S532" s="8">
        <f>IF(H532=TRUE,"Disponible","No disponible")</f>
        <v/>
      </c>
      <c r="T532" s="8">
        <f>IF(AND(ISNUMBER(I532),I532&gt;0),ROUND(F532/I532,2),"Sin volumen")</f>
        <v/>
      </c>
      <c r="U532" s="8">
        <f>IF(F532&lt;5000,"Bajo",IF(F532&lt;15000,"Medio","Alto"))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TRIM(CLEAN(PROPER(D533)))</f>
        <v/>
      </c>
      <c r="Q533">
        <f>PROPER(TRIM(SUBSTITUTE(SUBSTITUTE(SUBSTITUTE(SUBSTITUTE(E533,"TRESEMME","Tresemme"),"HEAD &amp; SHOULDERS","Head &amp; Shoulders"),"ELVIVE","Elvive"),"FRUCTIS","Fructis")))</f>
        <v/>
      </c>
      <c r="R533">
        <f>COUNTIF($D$2:$D$10000,D533)&gt;1</f>
        <v/>
      </c>
      <c r="S533">
        <f>IF(H533=TRUE,"Disponible","No disponible")</f>
        <v/>
      </c>
      <c r="T533">
        <f>IF(AND(ISNUMBER(I533),I533&gt;0),ROUND(F533/I533,2),"Sin volumen")</f>
        <v/>
      </c>
      <c r="U533">
        <f>IF(F533&lt;5000,"Bajo",IF(F533&lt;15000,"Medio","Alto"))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TRIM(CLEAN(PROPER(D534)))</f>
        <v/>
      </c>
      <c r="Q534" s="8">
        <f>PROPER(TRIM(SUBSTITUTE(SUBSTITUTE(SUBSTITUTE(SUBSTITUTE(E534,"TRESEMME","Tresemme"),"HEAD &amp; SHOULDERS","Head &amp; Shoulders"),"ELVIVE","Elvive"),"FRUCTIS","Fructis")))</f>
        <v/>
      </c>
      <c r="R534" s="8">
        <f>COUNTIF($D$2:$D$10000,D534)&gt;1</f>
        <v/>
      </c>
      <c r="S534" s="8">
        <f>IF(H534=TRUE,"Disponible","No disponible")</f>
        <v/>
      </c>
      <c r="T534" s="8">
        <f>IF(AND(ISNUMBER(I534),I534&gt;0),ROUND(F534/I534,2),"Sin volumen")</f>
        <v/>
      </c>
      <c r="U534" s="8">
        <f>IF(F534&lt;5000,"Bajo",IF(F534&lt;15000,"Medio","Alto"))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TRIM(CLEAN(PROPER(D535)))</f>
        <v/>
      </c>
      <c r="Q535">
        <f>PROPER(TRIM(SUBSTITUTE(SUBSTITUTE(SUBSTITUTE(SUBSTITUTE(E535,"TRESEMME","Tresemme"),"HEAD &amp; SHOULDERS","Head &amp; Shoulders"),"ELVIVE","Elvive"),"FRUCTIS","Fructis")))</f>
        <v/>
      </c>
      <c r="R535">
        <f>COUNTIF($D$2:$D$10000,D535)&gt;1</f>
        <v/>
      </c>
      <c r="S535">
        <f>IF(H535=TRUE,"Disponible","No disponible")</f>
        <v/>
      </c>
      <c r="T535">
        <f>IF(AND(ISNUMBER(I535),I535&gt;0),ROUND(F535/I535,2),"Sin volumen")</f>
        <v/>
      </c>
      <c r="U535">
        <f>IF(F535&lt;5000,"Bajo",IF(F535&lt;15000,"Medio","Alto"))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TRIM(CLEAN(PROPER(D536)))</f>
        <v/>
      </c>
      <c r="Q536" s="8">
        <f>PROPER(TRIM(SUBSTITUTE(SUBSTITUTE(SUBSTITUTE(SUBSTITUTE(E536,"TRESEMME","Tresemme"),"HEAD &amp; SHOULDERS","Head &amp; Shoulders"),"ELVIVE","Elvive"),"FRUCTIS","Fructis")))</f>
        <v/>
      </c>
      <c r="R536" s="8">
        <f>COUNTIF($D$2:$D$10000,D536)&gt;1</f>
        <v/>
      </c>
      <c r="S536" s="8">
        <f>IF(H536=TRUE,"Disponible","No disponible")</f>
        <v/>
      </c>
      <c r="T536" s="8">
        <f>IF(AND(ISNUMBER(I536),I536&gt;0),ROUND(F536/I536,2),"Sin volumen")</f>
        <v/>
      </c>
      <c r="U536" s="8">
        <f>IF(F536&lt;5000,"Bajo",IF(F536&lt;15000,"Medio","Alto"))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TRIM(CLEAN(PROPER(D537)))</f>
        <v/>
      </c>
      <c r="Q537">
        <f>PROPER(TRIM(SUBSTITUTE(SUBSTITUTE(SUBSTITUTE(SUBSTITUTE(E537,"TRESEMME","Tresemme"),"HEAD &amp; SHOULDERS","Head &amp; Shoulders"),"ELVIVE","Elvive"),"FRUCTIS","Fructis")))</f>
        <v/>
      </c>
      <c r="R537">
        <f>COUNTIF($D$2:$D$10000,D537)&gt;1</f>
        <v/>
      </c>
      <c r="S537">
        <f>IF(H537=TRUE,"Disponible","No disponible")</f>
        <v/>
      </c>
      <c r="T537">
        <f>IF(AND(ISNUMBER(I537),I537&gt;0),ROUND(F537/I537,2),"Sin volumen")</f>
        <v/>
      </c>
      <c r="U537">
        <f>IF(F537&lt;5000,"Bajo",IF(F537&lt;15000,"Medio","Alto"))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TRIM(CLEAN(PROPER(D538)))</f>
        <v/>
      </c>
      <c r="Q538" s="8">
        <f>PROPER(TRIM(SUBSTITUTE(SUBSTITUTE(SUBSTITUTE(SUBSTITUTE(E538,"TRESEMME","Tresemme"),"HEAD &amp; SHOULDERS","Head &amp; Shoulders"),"ELVIVE","Elvive"),"FRUCTIS","Fructis")))</f>
        <v/>
      </c>
      <c r="R538" s="8">
        <f>COUNTIF($D$2:$D$10000,D538)&gt;1</f>
        <v/>
      </c>
      <c r="S538" s="8">
        <f>IF(H538=TRUE,"Disponible","No disponible")</f>
        <v/>
      </c>
      <c r="T538" s="8">
        <f>IF(AND(ISNUMBER(I538),I538&gt;0),ROUND(F538/I538,2),"Sin volumen")</f>
        <v/>
      </c>
      <c r="U538" s="8">
        <f>IF(F538&lt;5000,"Bajo",IF(F538&lt;15000,"Medio","Alto"))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TRIM(CLEAN(PROPER(D539)))</f>
        <v/>
      </c>
      <c r="Q539">
        <f>PROPER(TRIM(SUBSTITUTE(SUBSTITUTE(SUBSTITUTE(SUBSTITUTE(E539,"TRESEMME","Tresemme"),"HEAD &amp; SHOULDERS","Head &amp; Shoulders"),"ELVIVE","Elvive"),"FRUCTIS","Fructis")))</f>
        <v/>
      </c>
      <c r="R539">
        <f>COUNTIF($D$2:$D$10000,D539)&gt;1</f>
        <v/>
      </c>
      <c r="S539">
        <f>IF(H539=TRUE,"Disponible","No disponible")</f>
        <v/>
      </c>
      <c r="T539">
        <f>IF(AND(ISNUMBER(I539),I539&gt;0),ROUND(F539/I539,2),"Sin volumen")</f>
        <v/>
      </c>
      <c r="U539">
        <f>IF(F539&lt;5000,"Bajo",IF(F539&lt;15000,"Medio","Alto"))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TRIM(CLEAN(PROPER(D540)))</f>
        <v/>
      </c>
      <c r="Q540" s="8">
        <f>PROPER(TRIM(SUBSTITUTE(SUBSTITUTE(SUBSTITUTE(SUBSTITUTE(E540,"TRESEMME","Tresemme"),"HEAD &amp; SHOULDERS","Head &amp; Shoulders"),"ELVIVE","Elvive"),"FRUCTIS","Fructis")))</f>
        <v/>
      </c>
      <c r="R540" s="8">
        <f>COUNTIF($D$2:$D$10000,D540)&gt;1</f>
        <v/>
      </c>
      <c r="S540" s="8">
        <f>IF(H540=TRUE,"Disponible","No disponible")</f>
        <v/>
      </c>
      <c r="T540" s="8">
        <f>IF(AND(ISNUMBER(I540),I540&gt;0),ROUND(F540/I540,2),"Sin volumen")</f>
        <v/>
      </c>
      <c r="U540" s="8">
        <f>IF(F540&lt;5000,"Bajo",IF(F540&lt;15000,"Medio","Alto"))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TRIM(CLEAN(PROPER(D541)))</f>
        <v/>
      </c>
      <c r="Q541">
        <f>PROPER(TRIM(SUBSTITUTE(SUBSTITUTE(SUBSTITUTE(SUBSTITUTE(E541,"TRESEMME","Tresemme"),"HEAD &amp; SHOULDERS","Head &amp; Shoulders"),"ELVIVE","Elvive"),"FRUCTIS","Fructis")))</f>
        <v/>
      </c>
      <c r="R541">
        <f>COUNTIF($D$2:$D$10000,D541)&gt;1</f>
        <v/>
      </c>
      <c r="S541">
        <f>IF(H541=TRUE,"Disponible","No disponible")</f>
        <v/>
      </c>
      <c r="T541">
        <f>IF(AND(ISNUMBER(I541),I541&gt;0),ROUND(F541/I541,2),"Sin volumen")</f>
        <v/>
      </c>
      <c r="U541">
        <f>IF(F541&lt;5000,"Bajo",IF(F541&lt;15000,"Medio","Alto"))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TRIM(CLEAN(PROPER(D542)))</f>
        <v/>
      </c>
      <c r="Q542" s="8">
        <f>PROPER(TRIM(SUBSTITUTE(SUBSTITUTE(SUBSTITUTE(SUBSTITUTE(E542,"TRESEMME","Tresemme"),"HEAD &amp; SHOULDERS","Head &amp; Shoulders"),"ELVIVE","Elvive"),"FRUCTIS","Fructis")))</f>
        <v/>
      </c>
      <c r="R542" s="8">
        <f>COUNTIF($D$2:$D$10000,D542)&gt;1</f>
        <v/>
      </c>
      <c r="S542" s="8">
        <f>IF(H542=TRUE,"Disponible","No disponible")</f>
        <v/>
      </c>
      <c r="T542" s="8">
        <f>IF(AND(ISNUMBER(I542),I542&gt;0),ROUND(F542/I542,2),"Sin volumen")</f>
        <v/>
      </c>
      <c r="U542" s="8">
        <f>IF(F542&lt;5000,"Bajo",IF(F542&lt;15000,"Medio","Alto"))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TRIM(CLEAN(PROPER(D543)))</f>
        <v/>
      </c>
      <c r="Q543">
        <f>PROPER(TRIM(SUBSTITUTE(SUBSTITUTE(SUBSTITUTE(SUBSTITUTE(E543,"TRESEMME","Tresemme"),"HEAD &amp; SHOULDERS","Head &amp; Shoulders"),"ELVIVE","Elvive"),"FRUCTIS","Fructis")))</f>
        <v/>
      </c>
      <c r="R543">
        <f>COUNTIF($D$2:$D$10000,D543)&gt;1</f>
        <v/>
      </c>
      <c r="S543">
        <f>IF(H543=TRUE,"Disponible","No disponible")</f>
        <v/>
      </c>
      <c r="T543">
        <f>IF(AND(ISNUMBER(I543),I543&gt;0),ROUND(F543/I543,2),"Sin volumen")</f>
        <v/>
      </c>
      <c r="U543">
        <f>IF(F543&lt;5000,"Bajo",IF(F543&lt;15000,"Medio","Alto"))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TRIM(CLEAN(PROPER(D544)))</f>
        <v/>
      </c>
      <c r="Q544" s="8">
        <f>PROPER(TRIM(SUBSTITUTE(SUBSTITUTE(SUBSTITUTE(SUBSTITUTE(E544,"TRESEMME","Tresemme"),"HEAD &amp; SHOULDERS","Head &amp; Shoulders"),"ELVIVE","Elvive"),"FRUCTIS","Fructis")))</f>
        <v/>
      </c>
      <c r="R544" s="8">
        <f>COUNTIF($D$2:$D$10000,D544)&gt;1</f>
        <v/>
      </c>
      <c r="S544" s="8">
        <f>IF(H544=TRUE,"Disponible","No disponible")</f>
        <v/>
      </c>
      <c r="T544" s="8">
        <f>IF(AND(ISNUMBER(I544),I544&gt;0),ROUND(F544/I544,2),"Sin volumen")</f>
        <v/>
      </c>
      <c r="U544" s="8">
        <f>IF(F544&lt;5000,"Bajo",IF(F544&lt;15000,"Medio","Alto"))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TRIM(CLEAN(PROPER(D545)))</f>
        <v/>
      </c>
      <c r="Q545">
        <f>PROPER(TRIM(SUBSTITUTE(SUBSTITUTE(SUBSTITUTE(SUBSTITUTE(E545,"TRESEMME","Tresemme"),"HEAD &amp; SHOULDERS","Head &amp; Shoulders"),"ELVIVE","Elvive"),"FRUCTIS","Fructis")))</f>
        <v/>
      </c>
      <c r="R545">
        <f>COUNTIF($D$2:$D$10000,D545)&gt;1</f>
        <v/>
      </c>
      <c r="S545">
        <f>IF(H545=TRUE,"Disponible","No disponible")</f>
        <v/>
      </c>
      <c r="T545">
        <f>IF(AND(ISNUMBER(I545),I545&gt;0),ROUND(F545/I545,2),"Sin volumen")</f>
        <v/>
      </c>
      <c r="U545">
        <f>IF(F545&lt;5000,"Bajo",IF(F545&lt;15000,"Medio","Alto"))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TRIM(CLEAN(PROPER(D546)))</f>
        <v/>
      </c>
      <c r="Q546" s="8">
        <f>PROPER(TRIM(SUBSTITUTE(SUBSTITUTE(SUBSTITUTE(SUBSTITUTE(E546,"TRESEMME","Tresemme"),"HEAD &amp; SHOULDERS","Head &amp; Shoulders"),"ELVIVE","Elvive"),"FRUCTIS","Fructis")))</f>
        <v/>
      </c>
      <c r="R546" s="8">
        <f>COUNTIF($D$2:$D$10000,D546)&gt;1</f>
        <v/>
      </c>
      <c r="S546" s="8">
        <f>IF(H546=TRUE,"Disponible","No disponible")</f>
        <v/>
      </c>
      <c r="T546" s="8">
        <f>IF(AND(ISNUMBER(I546),I546&gt;0),ROUND(F546/I546,2),"Sin volumen")</f>
        <v/>
      </c>
      <c r="U546" s="8">
        <f>IF(F546&lt;5000,"Bajo",IF(F546&lt;15000,"Medio","Alto"))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TRIM(CLEAN(PROPER(D547)))</f>
        <v/>
      </c>
      <c r="Q547">
        <f>PROPER(TRIM(SUBSTITUTE(SUBSTITUTE(SUBSTITUTE(SUBSTITUTE(E547,"TRESEMME","Tresemme"),"HEAD &amp; SHOULDERS","Head &amp; Shoulders"),"ELVIVE","Elvive"),"FRUCTIS","Fructis")))</f>
        <v/>
      </c>
      <c r="R547">
        <f>COUNTIF($D$2:$D$10000,D547)&gt;1</f>
        <v/>
      </c>
      <c r="S547">
        <f>IF(H547=TRUE,"Disponible","No disponible")</f>
        <v/>
      </c>
      <c r="T547">
        <f>IF(AND(ISNUMBER(I547),I547&gt;0),ROUND(F547/I547,2),"Sin volumen")</f>
        <v/>
      </c>
      <c r="U547">
        <f>IF(F547&lt;5000,"Bajo",IF(F547&lt;15000,"Medio","Alto"))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TRIM(CLEAN(PROPER(D548)))</f>
        <v/>
      </c>
      <c r="Q548" s="8">
        <f>PROPER(TRIM(SUBSTITUTE(SUBSTITUTE(SUBSTITUTE(SUBSTITUTE(E548,"TRESEMME","Tresemme"),"HEAD &amp; SHOULDERS","Head &amp; Shoulders"),"ELVIVE","Elvive"),"FRUCTIS","Fructis")))</f>
        <v/>
      </c>
      <c r="R548" s="8">
        <f>COUNTIF($D$2:$D$10000,D548)&gt;1</f>
        <v/>
      </c>
      <c r="S548" s="8">
        <f>IF(H548=TRUE,"Disponible","No disponible")</f>
        <v/>
      </c>
      <c r="T548" s="8">
        <f>IF(AND(ISNUMBER(I548),I548&gt;0),ROUND(F548/I548,2),"Sin volumen")</f>
        <v/>
      </c>
      <c r="U548" s="8">
        <f>IF(F548&lt;5000,"Bajo",IF(F548&lt;15000,"Medio","Alto"))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TRIM(CLEAN(PROPER(D549)))</f>
        <v/>
      </c>
      <c r="Q549">
        <f>PROPER(TRIM(SUBSTITUTE(SUBSTITUTE(SUBSTITUTE(SUBSTITUTE(E549,"TRESEMME","Tresemme"),"HEAD &amp; SHOULDERS","Head &amp; Shoulders"),"ELVIVE","Elvive"),"FRUCTIS","Fructis")))</f>
        <v/>
      </c>
      <c r="R549">
        <f>COUNTIF($D$2:$D$10000,D549)&gt;1</f>
        <v/>
      </c>
      <c r="S549">
        <f>IF(H549=TRUE,"Disponible","No disponible")</f>
        <v/>
      </c>
      <c r="T549">
        <f>IF(AND(ISNUMBER(I549),I549&gt;0),ROUND(F549/I549,2),"Sin volumen")</f>
        <v/>
      </c>
      <c r="U549">
        <f>IF(F549&lt;5000,"Bajo",IF(F549&lt;15000,"Medio","Alto"))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TRIM(CLEAN(PROPER(D550)))</f>
        <v/>
      </c>
      <c r="Q550" s="8">
        <f>PROPER(TRIM(SUBSTITUTE(SUBSTITUTE(SUBSTITUTE(SUBSTITUTE(E550,"TRESEMME","Tresemme"),"HEAD &amp; SHOULDERS","Head &amp; Shoulders"),"ELVIVE","Elvive"),"FRUCTIS","Fructis")))</f>
        <v/>
      </c>
      <c r="R550" s="8">
        <f>COUNTIF($D$2:$D$10000,D550)&gt;1</f>
        <v/>
      </c>
      <c r="S550" s="8">
        <f>IF(H550=TRUE,"Disponible","No disponible")</f>
        <v/>
      </c>
      <c r="T550" s="8">
        <f>IF(AND(ISNUMBER(I550),I550&gt;0),ROUND(F550/I550,2),"Sin volumen")</f>
        <v/>
      </c>
      <c r="U550" s="8">
        <f>IF(F550&lt;5000,"Bajo",IF(F550&lt;15000,"Medio","Alto"))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TRIM(CLEAN(PROPER(D551)))</f>
        <v/>
      </c>
      <c r="Q551">
        <f>PROPER(TRIM(SUBSTITUTE(SUBSTITUTE(SUBSTITUTE(SUBSTITUTE(E551,"TRESEMME","Tresemme"),"HEAD &amp; SHOULDERS","Head &amp; Shoulders"),"ELVIVE","Elvive"),"FRUCTIS","Fructis")))</f>
        <v/>
      </c>
      <c r="R551">
        <f>COUNTIF($D$2:$D$10000,D551)&gt;1</f>
        <v/>
      </c>
      <c r="S551">
        <f>IF(H551=TRUE,"Disponible","No disponible")</f>
        <v/>
      </c>
      <c r="T551">
        <f>IF(AND(ISNUMBER(I551),I551&gt;0),ROUND(F551/I551,2),"Sin volumen")</f>
        <v/>
      </c>
      <c r="U551">
        <f>IF(F551&lt;5000,"Bajo",IF(F551&lt;15000,"Medio","Alto"))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TRIM(CLEAN(PROPER(D552)))</f>
        <v/>
      </c>
      <c r="Q552" s="8">
        <f>PROPER(TRIM(SUBSTITUTE(SUBSTITUTE(SUBSTITUTE(SUBSTITUTE(E552,"TRESEMME","Tresemme"),"HEAD &amp; SHOULDERS","Head &amp; Shoulders"),"ELVIVE","Elvive"),"FRUCTIS","Fructis")))</f>
        <v/>
      </c>
      <c r="R552" s="8">
        <f>COUNTIF($D$2:$D$10000,D552)&gt;1</f>
        <v/>
      </c>
      <c r="S552" s="8">
        <f>IF(H552=TRUE,"Disponible","No disponible")</f>
        <v/>
      </c>
      <c r="T552" s="8">
        <f>IF(AND(ISNUMBER(I552),I552&gt;0),ROUND(F552/I552,2),"Sin volumen")</f>
        <v/>
      </c>
      <c r="U552" s="8">
        <f>IF(F552&lt;5000,"Bajo",IF(F552&lt;15000,"Medio","Alto"))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TRIM(CLEAN(PROPER(D553)))</f>
        <v/>
      </c>
      <c r="Q553">
        <f>PROPER(TRIM(SUBSTITUTE(SUBSTITUTE(SUBSTITUTE(SUBSTITUTE(E553,"TRESEMME","Tresemme"),"HEAD &amp; SHOULDERS","Head &amp; Shoulders"),"ELVIVE","Elvive"),"FRUCTIS","Fructis")))</f>
        <v/>
      </c>
      <c r="R553">
        <f>COUNTIF($D$2:$D$10000,D553)&gt;1</f>
        <v/>
      </c>
      <c r="S553">
        <f>IF(H553=TRUE,"Disponible","No disponible")</f>
        <v/>
      </c>
      <c r="T553">
        <f>IF(AND(ISNUMBER(I553),I553&gt;0),ROUND(F553/I553,2),"Sin volumen")</f>
        <v/>
      </c>
      <c r="U553">
        <f>IF(F553&lt;5000,"Bajo",IF(F553&lt;15000,"Medio","Alto"))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TRIM(CLEAN(PROPER(D554)))</f>
        <v/>
      </c>
      <c r="Q554" s="8">
        <f>PROPER(TRIM(SUBSTITUTE(SUBSTITUTE(SUBSTITUTE(SUBSTITUTE(E554,"TRESEMME","Tresemme"),"HEAD &amp; SHOULDERS","Head &amp; Shoulders"),"ELVIVE","Elvive"),"FRUCTIS","Fructis")))</f>
        <v/>
      </c>
      <c r="R554" s="8">
        <f>COUNTIF($D$2:$D$10000,D554)&gt;1</f>
        <v/>
      </c>
      <c r="S554" s="8">
        <f>IF(H554=TRUE,"Disponible","No disponible")</f>
        <v/>
      </c>
      <c r="T554" s="8">
        <f>IF(AND(ISNUMBER(I554),I554&gt;0),ROUND(F554/I554,2),"Sin volumen")</f>
        <v/>
      </c>
      <c r="U554" s="8">
        <f>IF(F554&lt;5000,"Bajo",IF(F554&lt;15000,"Medio","Alto"))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TRIM(CLEAN(PROPER(D555)))</f>
        <v/>
      </c>
      <c r="Q555">
        <f>PROPER(TRIM(SUBSTITUTE(SUBSTITUTE(SUBSTITUTE(SUBSTITUTE(E555,"TRESEMME","Tresemme"),"HEAD &amp; SHOULDERS","Head &amp; Shoulders"),"ELVIVE","Elvive"),"FRUCTIS","Fructis")))</f>
        <v/>
      </c>
      <c r="R555">
        <f>COUNTIF($D$2:$D$10000,D555)&gt;1</f>
        <v/>
      </c>
      <c r="S555">
        <f>IF(H555=TRUE,"Disponible","No disponible")</f>
        <v/>
      </c>
      <c r="T555">
        <f>IF(AND(ISNUMBER(I555),I555&gt;0),ROUND(F555/I555,2),"Sin volumen")</f>
        <v/>
      </c>
      <c r="U555">
        <f>IF(F555&lt;5000,"Bajo",IF(F555&lt;15000,"Medio","Alto"))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TRIM(CLEAN(PROPER(D556)))</f>
        <v/>
      </c>
      <c r="Q556" s="8">
        <f>PROPER(TRIM(SUBSTITUTE(SUBSTITUTE(SUBSTITUTE(SUBSTITUTE(E556,"TRESEMME","Tresemme"),"HEAD &amp; SHOULDERS","Head &amp; Shoulders"),"ELVIVE","Elvive"),"FRUCTIS","Fructis")))</f>
        <v/>
      </c>
      <c r="R556" s="8">
        <f>COUNTIF($D$2:$D$10000,D556)&gt;1</f>
        <v/>
      </c>
      <c r="S556" s="8">
        <f>IF(H556=TRUE,"Disponible","No disponible")</f>
        <v/>
      </c>
      <c r="T556" s="8">
        <f>IF(AND(ISNUMBER(I556),I556&gt;0),ROUND(F556/I556,2),"Sin volumen")</f>
        <v/>
      </c>
      <c r="U556" s="8">
        <f>IF(F556&lt;5000,"Bajo",IF(F556&lt;15000,"Medio","Alto"))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TRIM(CLEAN(PROPER(D557)))</f>
        <v/>
      </c>
      <c r="Q557">
        <f>PROPER(TRIM(SUBSTITUTE(SUBSTITUTE(SUBSTITUTE(SUBSTITUTE(E557,"TRESEMME","Tresemme"),"HEAD &amp; SHOULDERS","Head &amp; Shoulders"),"ELVIVE","Elvive"),"FRUCTIS","Fructis")))</f>
        <v/>
      </c>
      <c r="R557">
        <f>COUNTIF($D$2:$D$10000,D557)&gt;1</f>
        <v/>
      </c>
      <c r="S557">
        <f>IF(H557=TRUE,"Disponible","No disponible")</f>
        <v/>
      </c>
      <c r="T557">
        <f>IF(AND(ISNUMBER(I557),I557&gt;0),ROUND(F557/I557,2),"Sin volumen")</f>
        <v/>
      </c>
      <c r="U557">
        <f>IF(F557&lt;5000,"Bajo",IF(F557&lt;15000,"Medio","Alto"))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TRIM(CLEAN(PROPER(D558)))</f>
        <v/>
      </c>
      <c r="Q558" s="8">
        <f>PROPER(TRIM(SUBSTITUTE(SUBSTITUTE(SUBSTITUTE(SUBSTITUTE(E558,"TRESEMME","Tresemme"),"HEAD &amp; SHOULDERS","Head &amp; Shoulders"),"ELVIVE","Elvive"),"FRUCTIS","Fructis")))</f>
        <v/>
      </c>
      <c r="R558" s="8">
        <f>COUNTIF($D$2:$D$10000,D558)&gt;1</f>
        <v/>
      </c>
      <c r="S558" s="8">
        <f>IF(H558=TRUE,"Disponible","No disponible")</f>
        <v/>
      </c>
      <c r="T558" s="8">
        <f>IF(AND(ISNUMBER(I558),I558&gt;0),ROUND(F558/I558,2),"Sin volumen")</f>
        <v/>
      </c>
      <c r="U558" s="8">
        <f>IF(F558&lt;5000,"Bajo",IF(F558&lt;15000,"Medio","Alto"))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TRIM(CLEAN(PROPER(D559)))</f>
        <v/>
      </c>
      <c r="Q559">
        <f>PROPER(TRIM(SUBSTITUTE(SUBSTITUTE(SUBSTITUTE(SUBSTITUTE(E559,"TRESEMME","Tresemme"),"HEAD &amp; SHOULDERS","Head &amp; Shoulders"),"ELVIVE","Elvive"),"FRUCTIS","Fructis")))</f>
        <v/>
      </c>
      <c r="R559">
        <f>COUNTIF($D$2:$D$10000,D559)&gt;1</f>
        <v/>
      </c>
      <c r="S559">
        <f>IF(H559=TRUE,"Disponible","No disponible")</f>
        <v/>
      </c>
      <c r="T559">
        <f>IF(AND(ISNUMBER(I559),I559&gt;0),ROUND(F559/I559,2),"Sin volumen")</f>
        <v/>
      </c>
      <c r="U559">
        <f>IF(F559&lt;5000,"Bajo",IF(F559&lt;15000,"Medio","Alto"))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TRIM(CLEAN(PROPER(D560)))</f>
        <v/>
      </c>
      <c r="Q560" s="8">
        <f>PROPER(TRIM(SUBSTITUTE(SUBSTITUTE(SUBSTITUTE(SUBSTITUTE(E560,"TRESEMME","Tresemme"),"HEAD &amp; SHOULDERS","Head &amp; Shoulders"),"ELVIVE","Elvive"),"FRUCTIS","Fructis")))</f>
        <v/>
      </c>
      <c r="R560" s="8">
        <f>COUNTIF($D$2:$D$10000,D560)&gt;1</f>
        <v/>
      </c>
      <c r="S560" s="8">
        <f>IF(H560=TRUE,"Disponible","No disponible")</f>
        <v/>
      </c>
      <c r="T560" s="8">
        <f>IF(AND(ISNUMBER(I560),I560&gt;0),ROUND(F560/I560,2),"Sin volumen")</f>
        <v/>
      </c>
      <c r="U560" s="8">
        <f>IF(F560&lt;5000,"Bajo",IF(F560&lt;15000,"Medio","Alto"))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TRIM(CLEAN(PROPER(D561)))</f>
        <v/>
      </c>
      <c r="Q561">
        <f>PROPER(TRIM(SUBSTITUTE(SUBSTITUTE(SUBSTITUTE(SUBSTITUTE(E561,"TRESEMME","Tresemme"),"HEAD &amp; SHOULDERS","Head &amp; Shoulders"),"ELVIVE","Elvive"),"FRUCTIS","Fructis")))</f>
        <v/>
      </c>
      <c r="R561">
        <f>COUNTIF($D$2:$D$10000,D561)&gt;1</f>
        <v/>
      </c>
      <c r="S561">
        <f>IF(H561=TRUE,"Disponible","No disponible")</f>
        <v/>
      </c>
      <c r="T561">
        <f>IF(AND(ISNUMBER(I561),I561&gt;0),ROUND(F561/I561,2),"Sin volumen")</f>
        <v/>
      </c>
      <c r="U561">
        <f>IF(F561&lt;5000,"Bajo",IF(F561&lt;15000,"Medio","Alto"))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TRIM(CLEAN(PROPER(D562)))</f>
        <v/>
      </c>
      <c r="Q562" s="8">
        <f>PROPER(TRIM(SUBSTITUTE(SUBSTITUTE(SUBSTITUTE(SUBSTITUTE(E562,"TRESEMME","Tresemme"),"HEAD &amp; SHOULDERS","Head &amp; Shoulders"),"ELVIVE","Elvive"),"FRUCTIS","Fructis")))</f>
        <v/>
      </c>
      <c r="R562" s="8">
        <f>COUNTIF($D$2:$D$10000,D562)&gt;1</f>
        <v/>
      </c>
      <c r="S562" s="8">
        <f>IF(H562=TRUE,"Disponible","No disponible")</f>
        <v/>
      </c>
      <c r="T562" s="8">
        <f>IF(AND(ISNUMBER(I562),I562&gt;0),ROUND(F562/I562,2),"Sin volumen")</f>
        <v/>
      </c>
      <c r="U562" s="8">
        <f>IF(F562&lt;5000,"Bajo",IF(F562&lt;15000,"Medio","Alto"))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TRIM(CLEAN(PROPER(D563)))</f>
        <v/>
      </c>
      <c r="Q563">
        <f>PROPER(TRIM(SUBSTITUTE(SUBSTITUTE(SUBSTITUTE(SUBSTITUTE(E563,"TRESEMME","Tresemme"),"HEAD &amp; SHOULDERS","Head &amp; Shoulders"),"ELVIVE","Elvive"),"FRUCTIS","Fructis")))</f>
        <v/>
      </c>
      <c r="R563">
        <f>COUNTIF($D$2:$D$10000,D563)&gt;1</f>
        <v/>
      </c>
      <c r="S563">
        <f>IF(H563=TRUE,"Disponible","No disponible")</f>
        <v/>
      </c>
      <c r="T563">
        <f>IF(AND(ISNUMBER(I563),I563&gt;0),ROUND(F563/I563,2),"Sin volumen")</f>
        <v/>
      </c>
      <c r="U563">
        <f>IF(F563&lt;5000,"Bajo",IF(F563&lt;15000,"Medio","Alto"))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TRIM(CLEAN(PROPER(D564)))</f>
        <v/>
      </c>
      <c r="Q564" s="8">
        <f>PROPER(TRIM(SUBSTITUTE(SUBSTITUTE(SUBSTITUTE(SUBSTITUTE(E564,"TRESEMME","Tresemme"),"HEAD &amp; SHOULDERS","Head &amp; Shoulders"),"ELVIVE","Elvive"),"FRUCTIS","Fructis")))</f>
        <v/>
      </c>
      <c r="R564" s="8">
        <f>COUNTIF($D$2:$D$10000,D564)&gt;1</f>
        <v/>
      </c>
      <c r="S564" s="8">
        <f>IF(H564=TRUE,"Disponible","No disponible")</f>
        <v/>
      </c>
      <c r="T564" s="8">
        <f>IF(AND(ISNUMBER(I564),I564&gt;0),ROUND(F564/I564,2),"Sin volumen")</f>
        <v/>
      </c>
      <c r="U564" s="8">
        <f>IF(F564&lt;5000,"Bajo",IF(F564&lt;15000,"Medio","Alto"))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TRIM(CLEAN(PROPER(D565)))</f>
        <v/>
      </c>
      <c r="Q565">
        <f>PROPER(TRIM(SUBSTITUTE(SUBSTITUTE(SUBSTITUTE(SUBSTITUTE(E565,"TRESEMME","Tresemme"),"HEAD &amp; SHOULDERS","Head &amp; Shoulders"),"ELVIVE","Elvive"),"FRUCTIS","Fructis")))</f>
        <v/>
      </c>
      <c r="R565">
        <f>COUNTIF($D$2:$D$10000,D565)&gt;1</f>
        <v/>
      </c>
      <c r="S565">
        <f>IF(H565=TRUE,"Disponible","No disponible")</f>
        <v/>
      </c>
      <c r="T565">
        <f>IF(AND(ISNUMBER(I565),I565&gt;0),ROUND(F565/I565,2),"Sin volumen")</f>
        <v/>
      </c>
      <c r="U565">
        <f>IF(F565&lt;5000,"Bajo",IF(F565&lt;15000,"Medio","Alto"))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TRIM(CLEAN(PROPER(D566)))</f>
        <v/>
      </c>
      <c r="Q566" s="8">
        <f>PROPER(TRIM(SUBSTITUTE(SUBSTITUTE(SUBSTITUTE(SUBSTITUTE(E566,"TRESEMME","Tresemme"),"HEAD &amp; SHOULDERS","Head &amp; Shoulders"),"ELVIVE","Elvive"),"FRUCTIS","Fructis")))</f>
        <v/>
      </c>
      <c r="R566" s="8">
        <f>COUNTIF($D$2:$D$10000,D566)&gt;1</f>
        <v/>
      </c>
      <c r="S566" s="8">
        <f>IF(H566=TRUE,"Disponible","No disponible")</f>
        <v/>
      </c>
      <c r="T566" s="8">
        <f>IF(AND(ISNUMBER(I566),I566&gt;0),ROUND(F566/I566,2),"Sin volumen")</f>
        <v/>
      </c>
      <c r="U566" s="8">
        <f>IF(F566&lt;5000,"Bajo",IF(F566&lt;15000,"Medio","Alto"))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TRIM(CLEAN(PROPER(D567)))</f>
        <v/>
      </c>
      <c r="Q567">
        <f>PROPER(TRIM(SUBSTITUTE(SUBSTITUTE(SUBSTITUTE(SUBSTITUTE(E567,"TRESEMME","Tresemme"),"HEAD &amp; SHOULDERS","Head &amp; Shoulders"),"ELVIVE","Elvive"),"FRUCTIS","Fructis")))</f>
        <v/>
      </c>
      <c r="R567">
        <f>COUNTIF($D$2:$D$10000,D567)&gt;1</f>
        <v/>
      </c>
      <c r="S567">
        <f>IF(H567=TRUE,"Disponible","No disponible")</f>
        <v/>
      </c>
      <c r="T567">
        <f>IF(AND(ISNUMBER(I567),I567&gt;0),ROUND(F567/I567,2),"Sin volumen")</f>
        <v/>
      </c>
      <c r="U567">
        <f>IF(F567&lt;5000,"Bajo",IF(F567&lt;15000,"Medio","Alto"))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TRIM(CLEAN(PROPER(D568)))</f>
        <v/>
      </c>
      <c r="Q568" s="8">
        <f>PROPER(TRIM(SUBSTITUTE(SUBSTITUTE(SUBSTITUTE(SUBSTITUTE(E568,"TRESEMME","Tresemme"),"HEAD &amp; SHOULDERS","Head &amp; Shoulders"),"ELVIVE","Elvive"),"FRUCTIS","Fructis")))</f>
        <v/>
      </c>
      <c r="R568" s="8">
        <f>COUNTIF($D$2:$D$10000,D568)&gt;1</f>
        <v/>
      </c>
      <c r="S568" s="8">
        <f>IF(H568=TRUE,"Disponible","No disponible")</f>
        <v/>
      </c>
      <c r="T568" s="8">
        <f>IF(AND(ISNUMBER(I568),I568&gt;0),ROUND(F568/I568,2),"Sin volumen")</f>
        <v/>
      </c>
      <c r="U568" s="8">
        <f>IF(F568&lt;5000,"Bajo",IF(F568&lt;15000,"Medio","Alto"))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TRIM(CLEAN(PROPER(D569)))</f>
        <v/>
      </c>
      <c r="Q569">
        <f>PROPER(TRIM(SUBSTITUTE(SUBSTITUTE(SUBSTITUTE(SUBSTITUTE(E569,"TRESEMME","Tresemme"),"HEAD &amp; SHOULDERS","Head &amp; Shoulders"),"ELVIVE","Elvive"),"FRUCTIS","Fructis")))</f>
        <v/>
      </c>
      <c r="R569">
        <f>COUNTIF($D$2:$D$10000,D569)&gt;1</f>
        <v/>
      </c>
      <c r="S569">
        <f>IF(H569=TRUE,"Disponible","No disponible")</f>
        <v/>
      </c>
      <c r="T569">
        <f>IF(AND(ISNUMBER(I569),I569&gt;0),ROUND(F569/I569,2),"Sin volumen")</f>
        <v/>
      </c>
      <c r="U569">
        <f>IF(F569&lt;5000,"Bajo",IF(F569&lt;15000,"Medio","Alto"))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TRIM(CLEAN(PROPER(D570)))</f>
        <v/>
      </c>
      <c r="Q570" s="8">
        <f>PROPER(TRIM(SUBSTITUTE(SUBSTITUTE(SUBSTITUTE(SUBSTITUTE(E570,"TRESEMME","Tresemme"),"HEAD &amp; SHOULDERS","Head &amp; Shoulders"),"ELVIVE","Elvive"),"FRUCTIS","Fructis")))</f>
        <v/>
      </c>
      <c r="R570" s="8">
        <f>COUNTIF($D$2:$D$10000,D570)&gt;1</f>
        <v/>
      </c>
      <c r="S570" s="8">
        <f>IF(H570=TRUE,"Disponible","No disponible")</f>
        <v/>
      </c>
      <c r="T570" s="8">
        <f>IF(AND(ISNUMBER(I570),I570&gt;0),ROUND(F570/I570,2),"Sin volumen")</f>
        <v/>
      </c>
      <c r="U570" s="8">
        <f>IF(F570&lt;5000,"Bajo",IF(F570&lt;15000,"Medio","Alto"))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TRIM(CLEAN(PROPER(D571)))</f>
        <v/>
      </c>
      <c r="Q571">
        <f>PROPER(TRIM(SUBSTITUTE(SUBSTITUTE(SUBSTITUTE(SUBSTITUTE(E571,"TRESEMME","Tresemme"),"HEAD &amp; SHOULDERS","Head &amp; Shoulders"),"ELVIVE","Elvive"),"FRUCTIS","Fructis")))</f>
        <v/>
      </c>
      <c r="R571">
        <f>COUNTIF($D$2:$D$10000,D571)&gt;1</f>
        <v/>
      </c>
      <c r="S571">
        <f>IF(H571=TRUE,"Disponible","No disponible")</f>
        <v/>
      </c>
      <c r="T571">
        <f>IF(AND(ISNUMBER(I571),I571&gt;0),ROUND(F571/I571,2),"Sin volumen")</f>
        <v/>
      </c>
      <c r="U571">
        <f>IF(F571&lt;5000,"Bajo",IF(F571&lt;15000,"Medio","Alto"))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TRIM(CLEAN(PROPER(D572)))</f>
        <v/>
      </c>
      <c r="Q572" s="8">
        <f>PROPER(TRIM(SUBSTITUTE(SUBSTITUTE(SUBSTITUTE(SUBSTITUTE(E572,"TRESEMME","Tresemme"),"HEAD &amp; SHOULDERS","Head &amp; Shoulders"),"ELVIVE","Elvive"),"FRUCTIS","Fructis")))</f>
        <v/>
      </c>
      <c r="R572" s="8">
        <f>COUNTIF($D$2:$D$10000,D572)&gt;1</f>
        <v/>
      </c>
      <c r="S572" s="8">
        <f>IF(H572=TRUE,"Disponible","No disponible")</f>
        <v/>
      </c>
      <c r="T572" s="8">
        <f>IF(AND(ISNUMBER(I572),I572&gt;0),ROUND(F572/I572,2),"Sin volumen")</f>
        <v/>
      </c>
      <c r="U572" s="8">
        <f>IF(F572&lt;5000,"Bajo",IF(F572&lt;15000,"Medio","Alto"))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TRIM(CLEAN(PROPER(D573)))</f>
        <v/>
      </c>
      <c r="Q573">
        <f>PROPER(TRIM(SUBSTITUTE(SUBSTITUTE(SUBSTITUTE(SUBSTITUTE(E573,"TRESEMME","Tresemme"),"HEAD &amp; SHOULDERS","Head &amp; Shoulders"),"ELVIVE","Elvive"),"FRUCTIS","Fructis")))</f>
        <v/>
      </c>
      <c r="R573">
        <f>COUNTIF($D$2:$D$10000,D573)&gt;1</f>
        <v/>
      </c>
      <c r="S573">
        <f>IF(H573=TRUE,"Disponible","No disponible")</f>
        <v/>
      </c>
      <c r="T573">
        <f>IF(AND(ISNUMBER(I573),I573&gt;0),ROUND(F573/I573,2),"Sin volumen")</f>
        <v/>
      </c>
      <c r="U573">
        <f>IF(F573&lt;5000,"Bajo",IF(F573&lt;15000,"Medio","Alto"))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TRIM(CLEAN(PROPER(D574)))</f>
        <v/>
      </c>
      <c r="Q574" s="8">
        <f>PROPER(TRIM(SUBSTITUTE(SUBSTITUTE(SUBSTITUTE(SUBSTITUTE(E574,"TRESEMME","Tresemme"),"HEAD &amp; SHOULDERS","Head &amp; Shoulders"),"ELVIVE","Elvive"),"FRUCTIS","Fructis")))</f>
        <v/>
      </c>
      <c r="R574" s="8">
        <f>COUNTIF($D$2:$D$10000,D574)&gt;1</f>
        <v/>
      </c>
      <c r="S574" s="8">
        <f>IF(H574=TRUE,"Disponible","No disponible")</f>
        <v/>
      </c>
      <c r="T574" s="8">
        <f>IF(AND(ISNUMBER(I574),I574&gt;0),ROUND(F574/I574,2),"Sin volumen")</f>
        <v/>
      </c>
      <c r="U574" s="8">
        <f>IF(F574&lt;5000,"Bajo",IF(F574&lt;15000,"Medio","Alto"))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TRIM(CLEAN(PROPER(D575)))</f>
        <v/>
      </c>
      <c r="Q575">
        <f>PROPER(TRIM(SUBSTITUTE(SUBSTITUTE(SUBSTITUTE(SUBSTITUTE(E575,"TRESEMME","Tresemme"),"HEAD &amp; SHOULDERS","Head &amp; Shoulders"),"ELVIVE","Elvive"),"FRUCTIS","Fructis")))</f>
        <v/>
      </c>
      <c r="R575">
        <f>COUNTIF($D$2:$D$10000,D575)&gt;1</f>
        <v/>
      </c>
      <c r="S575">
        <f>IF(H575=TRUE,"Disponible","No disponible")</f>
        <v/>
      </c>
      <c r="T575">
        <f>IF(AND(ISNUMBER(I575),I575&gt;0),ROUND(F575/I575,2),"Sin volumen")</f>
        <v/>
      </c>
      <c r="U575">
        <f>IF(F575&lt;5000,"Bajo",IF(F575&lt;15000,"Medio","Alto"))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TRIM(CLEAN(PROPER(D576)))</f>
        <v/>
      </c>
      <c r="Q576" s="8">
        <f>PROPER(TRIM(SUBSTITUTE(SUBSTITUTE(SUBSTITUTE(SUBSTITUTE(E576,"TRESEMME","Tresemme"),"HEAD &amp; SHOULDERS","Head &amp; Shoulders"),"ELVIVE","Elvive"),"FRUCTIS","Fructis")))</f>
        <v/>
      </c>
      <c r="R576" s="8">
        <f>COUNTIF($D$2:$D$10000,D576)&gt;1</f>
        <v/>
      </c>
      <c r="S576" s="8">
        <f>IF(H576=TRUE,"Disponible","No disponible")</f>
        <v/>
      </c>
      <c r="T576" s="8">
        <f>IF(AND(ISNUMBER(I576),I576&gt;0),ROUND(F576/I576,2),"Sin volumen")</f>
        <v/>
      </c>
      <c r="U576" s="8">
        <f>IF(F576&lt;5000,"Bajo",IF(F576&lt;15000,"Medio","Alto"))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TRIM(CLEAN(PROPER(D577)))</f>
        <v/>
      </c>
      <c r="Q577">
        <f>PROPER(TRIM(SUBSTITUTE(SUBSTITUTE(SUBSTITUTE(SUBSTITUTE(E577,"TRESEMME","Tresemme"),"HEAD &amp; SHOULDERS","Head &amp; Shoulders"),"ELVIVE","Elvive"),"FRUCTIS","Fructis")))</f>
        <v/>
      </c>
      <c r="R577">
        <f>COUNTIF($D$2:$D$10000,D577)&gt;1</f>
        <v/>
      </c>
      <c r="S577">
        <f>IF(H577=TRUE,"Disponible","No disponible")</f>
        <v/>
      </c>
      <c r="T577">
        <f>IF(AND(ISNUMBER(I577),I577&gt;0),ROUND(F577/I577,2),"Sin volumen")</f>
        <v/>
      </c>
      <c r="U577">
        <f>IF(F577&lt;5000,"Bajo",IF(F577&lt;15000,"Medio","Alto"))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TRIM(CLEAN(PROPER(D578)))</f>
        <v/>
      </c>
      <c r="Q578" s="8">
        <f>PROPER(TRIM(SUBSTITUTE(SUBSTITUTE(SUBSTITUTE(SUBSTITUTE(E578,"TRESEMME","Tresemme"),"HEAD &amp; SHOULDERS","Head &amp; Shoulders"),"ELVIVE","Elvive"),"FRUCTIS","Fructis")))</f>
        <v/>
      </c>
      <c r="R578" s="8">
        <f>COUNTIF($D$2:$D$10000,D578)&gt;1</f>
        <v/>
      </c>
      <c r="S578" s="8">
        <f>IF(H578=TRUE,"Disponible","No disponible")</f>
        <v/>
      </c>
      <c r="T578" s="8">
        <f>IF(AND(ISNUMBER(I578),I578&gt;0),ROUND(F578/I578,2),"Sin volumen")</f>
        <v/>
      </c>
      <c r="U578" s="8">
        <f>IF(F578&lt;5000,"Bajo",IF(F578&lt;15000,"Medio","Alto"))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TRIM(CLEAN(PROPER(D579)))</f>
        <v/>
      </c>
      <c r="Q579">
        <f>PROPER(TRIM(SUBSTITUTE(SUBSTITUTE(SUBSTITUTE(SUBSTITUTE(E579,"TRESEMME","Tresemme"),"HEAD &amp; SHOULDERS","Head &amp; Shoulders"),"ELVIVE","Elvive"),"FRUCTIS","Fructis")))</f>
        <v/>
      </c>
      <c r="R579">
        <f>COUNTIF($D$2:$D$10000,D579)&gt;1</f>
        <v/>
      </c>
      <c r="S579">
        <f>IF(H579=TRUE,"Disponible","No disponible")</f>
        <v/>
      </c>
      <c r="T579">
        <f>IF(AND(ISNUMBER(I579),I579&gt;0),ROUND(F579/I579,2),"Sin volumen")</f>
        <v/>
      </c>
      <c r="U579">
        <f>IF(F579&lt;5000,"Bajo",IF(F579&lt;15000,"Medio","Alto"))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TRIM(CLEAN(PROPER(D580)))</f>
        <v/>
      </c>
      <c r="Q580" s="8">
        <f>PROPER(TRIM(SUBSTITUTE(SUBSTITUTE(SUBSTITUTE(SUBSTITUTE(E580,"TRESEMME","Tresemme"),"HEAD &amp; SHOULDERS","Head &amp; Shoulders"),"ELVIVE","Elvive"),"FRUCTIS","Fructis")))</f>
        <v/>
      </c>
      <c r="R580" s="8">
        <f>COUNTIF($D$2:$D$10000,D580)&gt;1</f>
        <v/>
      </c>
      <c r="S580" s="8">
        <f>IF(H580=TRUE,"Disponible","No disponible")</f>
        <v/>
      </c>
      <c r="T580" s="8">
        <f>IF(AND(ISNUMBER(I580),I580&gt;0),ROUND(F580/I580,2),"Sin volumen")</f>
        <v/>
      </c>
      <c r="U580" s="8">
        <f>IF(F580&lt;5000,"Bajo",IF(F580&lt;15000,"Medio","Alto"))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TRIM(CLEAN(PROPER(D581)))</f>
        <v/>
      </c>
      <c r="Q581">
        <f>PROPER(TRIM(SUBSTITUTE(SUBSTITUTE(SUBSTITUTE(SUBSTITUTE(E581,"TRESEMME","Tresemme"),"HEAD &amp; SHOULDERS","Head &amp; Shoulders"),"ELVIVE","Elvive"),"FRUCTIS","Fructis")))</f>
        <v/>
      </c>
      <c r="R581">
        <f>COUNTIF($D$2:$D$10000,D581)&gt;1</f>
        <v/>
      </c>
      <c r="S581">
        <f>IF(H581=TRUE,"Disponible","No disponible")</f>
        <v/>
      </c>
      <c r="T581">
        <f>IF(AND(ISNUMBER(I581),I581&gt;0),ROUND(F581/I581,2),"Sin volumen")</f>
        <v/>
      </c>
      <c r="U581">
        <f>IF(F581&lt;5000,"Bajo",IF(F581&lt;15000,"Medio","Alto"))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TRIM(CLEAN(PROPER(D582)))</f>
        <v/>
      </c>
      <c r="Q582" s="8">
        <f>PROPER(TRIM(SUBSTITUTE(SUBSTITUTE(SUBSTITUTE(SUBSTITUTE(E582,"TRESEMME","Tresemme"),"HEAD &amp; SHOULDERS","Head &amp; Shoulders"),"ELVIVE","Elvive"),"FRUCTIS","Fructis")))</f>
        <v/>
      </c>
      <c r="R582" s="8">
        <f>COUNTIF($D$2:$D$10000,D582)&gt;1</f>
        <v/>
      </c>
      <c r="S582" s="8">
        <f>IF(H582=TRUE,"Disponible","No disponible")</f>
        <v/>
      </c>
      <c r="T582" s="8">
        <f>IF(AND(ISNUMBER(I582),I582&gt;0),ROUND(F582/I582,2),"Sin volumen")</f>
        <v/>
      </c>
      <c r="U582" s="8">
        <f>IF(F582&lt;5000,"Bajo",IF(F582&lt;15000,"Medio","Alto"))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TRIM(CLEAN(PROPER(D583)))</f>
        <v/>
      </c>
      <c r="Q583">
        <f>PROPER(TRIM(SUBSTITUTE(SUBSTITUTE(SUBSTITUTE(SUBSTITUTE(E583,"TRESEMME","Tresemme"),"HEAD &amp; SHOULDERS","Head &amp; Shoulders"),"ELVIVE","Elvive"),"FRUCTIS","Fructis")))</f>
        <v/>
      </c>
      <c r="R583">
        <f>COUNTIF($D$2:$D$10000,D583)&gt;1</f>
        <v/>
      </c>
      <c r="S583">
        <f>IF(H583=TRUE,"Disponible","No disponible")</f>
        <v/>
      </c>
      <c r="T583">
        <f>IF(AND(ISNUMBER(I583),I583&gt;0),ROUND(F583/I583,2),"Sin volumen")</f>
        <v/>
      </c>
      <c r="U583">
        <f>IF(F583&lt;5000,"Bajo",IF(F583&lt;15000,"Medio","Alto"))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TRIM(CLEAN(PROPER(D584)))</f>
        <v/>
      </c>
      <c r="Q584" s="8">
        <f>PROPER(TRIM(SUBSTITUTE(SUBSTITUTE(SUBSTITUTE(SUBSTITUTE(E584,"TRESEMME","Tresemme"),"HEAD &amp; SHOULDERS","Head &amp; Shoulders"),"ELVIVE","Elvive"),"FRUCTIS","Fructis")))</f>
        <v/>
      </c>
      <c r="R584" s="8">
        <f>COUNTIF($D$2:$D$10000,D584)&gt;1</f>
        <v/>
      </c>
      <c r="S584" s="8">
        <f>IF(H584=TRUE,"Disponible","No disponible")</f>
        <v/>
      </c>
      <c r="T584" s="8">
        <f>IF(AND(ISNUMBER(I584),I584&gt;0),ROUND(F584/I584,2),"Sin volumen")</f>
        <v/>
      </c>
      <c r="U584" s="8">
        <f>IF(F584&lt;5000,"Bajo",IF(F584&lt;15000,"Medio","Alto"))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TRIM(CLEAN(PROPER(D585)))</f>
        <v/>
      </c>
      <c r="Q585">
        <f>PROPER(TRIM(SUBSTITUTE(SUBSTITUTE(SUBSTITUTE(SUBSTITUTE(E585,"TRESEMME","Tresemme"),"HEAD &amp; SHOULDERS","Head &amp; Shoulders"),"ELVIVE","Elvive"),"FRUCTIS","Fructis")))</f>
        <v/>
      </c>
      <c r="R585">
        <f>COUNTIF($D$2:$D$10000,D585)&gt;1</f>
        <v/>
      </c>
      <c r="S585">
        <f>IF(H585=TRUE,"Disponible","No disponible")</f>
        <v/>
      </c>
      <c r="T585">
        <f>IF(AND(ISNUMBER(I585),I585&gt;0),ROUND(F585/I585,2),"Sin volumen")</f>
        <v/>
      </c>
      <c r="U585">
        <f>IF(F585&lt;5000,"Bajo",IF(F585&lt;15000,"Medio","Alto"))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TRIM(CLEAN(PROPER(D586)))</f>
        <v/>
      </c>
      <c r="Q586" s="8">
        <f>PROPER(TRIM(SUBSTITUTE(SUBSTITUTE(SUBSTITUTE(SUBSTITUTE(E586,"TRESEMME","Tresemme"),"HEAD &amp; SHOULDERS","Head &amp; Shoulders"),"ELVIVE","Elvive"),"FRUCTIS","Fructis")))</f>
        <v/>
      </c>
      <c r="R586" s="8">
        <f>COUNTIF($D$2:$D$10000,D586)&gt;1</f>
        <v/>
      </c>
      <c r="S586" s="8">
        <f>IF(H586=TRUE,"Disponible","No disponible")</f>
        <v/>
      </c>
      <c r="T586" s="8">
        <f>IF(AND(ISNUMBER(I586),I586&gt;0),ROUND(F586/I586,2),"Sin volumen")</f>
        <v/>
      </c>
      <c r="U586" s="8">
        <f>IF(F586&lt;5000,"Bajo",IF(F586&lt;15000,"Medio","Alto"))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TRIM(CLEAN(PROPER(D587)))</f>
        <v/>
      </c>
      <c r="Q587">
        <f>PROPER(TRIM(SUBSTITUTE(SUBSTITUTE(SUBSTITUTE(SUBSTITUTE(E587,"TRESEMME","Tresemme"),"HEAD &amp; SHOULDERS","Head &amp; Shoulders"),"ELVIVE","Elvive"),"FRUCTIS","Fructis")))</f>
        <v/>
      </c>
      <c r="R587">
        <f>COUNTIF($D$2:$D$10000,D587)&gt;1</f>
        <v/>
      </c>
      <c r="S587">
        <f>IF(H587=TRUE,"Disponible","No disponible")</f>
        <v/>
      </c>
      <c r="T587">
        <f>IF(AND(ISNUMBER(I587),I587&gt;0),ROUND(F587/I587,2),"Sin volumen")</f>
        <v/>
      </c>
      <c r="U587">
        <f>IF(F587&lt;5000,"Bajo",IF(F587&lt;15000,"Medio","Alto"))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TRIM(CLEAN(PROPER(D588)))</f>
        <v/>
      </c>
      <c r="Q588" s="8">
        <f>PROPER(TRIM(SUBSTITUTE(SUBSTITUTE(SUBSTITUTE(SUBSTITUTE(E588,"TRESEMME","Tresemme"),"HEAD &amp; SHOULDERS","Head &amp; Shoulders"),"ELVIVE","Elvive"),"FRUCTIS","Fructis")))</f>
        <v/>
      </c>
      <c r="R588" s="8">
        <f>COUNTIF($D$2:$D$10000,D588)&gt;1</f>
        <v/>
      </c>
      <c r="S588" s="8">
        <f>IF(H588=TRUE,"Disponible","No disponible")</f>
        <v/>
      </c>
      <c r="T588" s="8">
        <f>IF(AND(ISNUMBER(I588),I588&gt;0),ROUND(F588/I588,2),"Sin volumen")</f>
        <v/>
      </c>
      <c r="U588" s="8">
        <f>IF(F588&lt;5000,"Bajo",IF(F588&lt;15000,"Medio","Alto"))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TRIM(CLEAN(PROPER(D589)))</f>
        <v/>
      </c>
      <c r="Q589">
        <f>PROPER(TRIM(SUBSTITUTE(SUBSTITUTE(SUBSTITUTE(SUBSTITUTE(E589,"TRESEMME","Tresemme"),"HEAD &amp; SHOULDERS","Head &amp; Shoulders"),"ELVIVE","Elvive"),"FRUCTIS","Fructis")))</f>
        <v/>
      </c>
      <c r="R589">
        <f>COUNTIF($D$2:$D$10000,D589)&gt;1</f>
        <v/>
      </c>
      <c r="S589">
        <f>IF(H589=TRUE,"Disponible","No disponible")</f>
        <v/>
      </c>
      <c r="T589">
        <f>IF(AND(ISNUMBER(I589),I589&gt;0),ROUND(F589/I589,2),"Sin volumen")</f>
        <v/>
      </c>
      <c r="U589">
        <f>IF(F589&lt;5000,"Bajo",IF(F589&lt;15000,"Medio","Alto"))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TRIM(CLEAN(PROPER(D590)))</f>
        <v/>
      </c>
      <c r="Q590" s="8">
        <f>PROPER(TRIM(SUBSTITUTE(SUBSTITUTE(SUBSTITUTE(SUBSTITUTE(E590,"TRESEMME","Tresemme"),"HEAD &amp; SHOULDERS","Head &amp; Shoulders"),"ELVIVE","Elvive"),"FRUCTIS","Fructis")))</f>
        <v/>
      </c>
      <c r="R590" s="8">
        <f>COUNTIF($D$2:$D$10000,D590)&gt;1</f>
        <v/>
      </c>
      <c r="S590" s="8">
        <f>IF(H590=TRUE,"Disponible","No disponible")</f>
        <v/>
      </c>
      <c r="T590" s="8">
        <f>IF(AND(ISNUMBER(I590),I590&gt;0),ROUND(F590/I590,2),"Sin volumen")</f>
        <v/>
      </c>
      <c r="U590" s="8">
        <f>IF(F590&lt;5000,"Bajo",IF(F590&lt;15000,"Medio","Alto"))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TRIM(CLEAN(PROPER(D591)))</f>
        <v/>
      </c>
      <c r="Q591">
        <f>PROPER(TRIM(SUBSTITUTE(SUBSTITUTE(SUBSTITUTE(SUBSTITUTE(E591,"TRESEMME","Tresemme"),"HEAD &amp; SHOULDERS","Head &amp; Shoulders"),"ELVIVE","Elvive"),"FRUCTIS","Fructis")))</f>
        <v/>
      </c>
      <c r="R591">
        <f>COUNTIF($D$2:$D$10000,D591)&gt;1</f>
        <v/>
      </c>
      <c r="S591">
        <f>IF(H591=TRUE,"Disponible","No disponible")</f>
        <v/>
      </c>
      <c r="T591">
        <f>IF(AND(ISNUMBER(I591),I591&gt;0),ROUND(F591/I591,2),"Sin volumen")</f>
        <v/>
      </c>
      <c r="U591">
        <f>IF(F591&lt;5000,"Bajo",IF(F591&lt;15000,"Medio","Alto"))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TRIM(CLEAN(PROPER(D592)))</f>
        <v/>
      </c>
      <c r="Q592" s="8">
        <f>PROPER(TRIM(SUBSTITUTE(SUBSTITUTE(SUBSTITUTE(SUBSTITUTE(E592,"TRESEMME","Tresemme"),"HEAD &amp; SHOULDERS","Head &amp; Shoulders"),"ELVIVE","Elvive"),"FRUCTIS","Fructis")))</f>
        <v/>
      </c>
      <c r="R592" s="8">
        <f>COUNTIF($D$2:$D$10000,D592)&gt;1</f>
        <v/>
      </c>
      <c r="S592" s="8">
        <f>IF(H592=TRUE,"Disponible","No disponible")</f>
        <v/>
      </c>
      <c r="T592" s="8">
        <f>IF(AND(ISNUMBER(I592),I592&gt;0),ROUND(F592/I592,2),"Sin volumen")</f>
        <v/>
      </c>
      <c r="U592" s="8">
        <f>IF(F592&lt;5000,"Bajo",IF(F592&lt;15000,"Medio","Alto"))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TRIM(CLEAN(PROPER(D593)))</f>
        <v/>
      </c>
      <c r="Q593">
        <f>PROPER(TRIM(SUBSTITUTE(SUBSTITUTE(SUBSTITUTE(SUBSTITUTE(E593,"TRESEMME","Tresemme"),"HEAD &amp; SHOULDERS","Head &amp; Shoulders"),"ELVIVE","Elvive"),"FRUCTIS","Fructis")))</f>
        <v/>
      </c>
      <c r="R593">
        <f>COUNTIF($D$2:$D$10000,D593)&gt;1</f>
        <v/>
      </c>
      <c r="S593">
        <f>IF(H593=TRUE,"Disponible","No disponible")</f>
        <v/>
      </c>
      <c r="T593">
        <f>IF(AND(ISNUMBER(I593),I593&gt;0),ROUND(F593/I593,2),"Sin volumen")</f>
        <v/>
      </c>
      <c r="U593">
        <f>IF(F593&lt;5000,"Bajo",IF(F593&lt;15000,"Medio","Alto"))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TRIM(CLEAN(PROPER(D594)))</f>
        <v/>
      </c>
      <c r="Q594" s="8">
        <f>PROPER(TRIM(SUBSTITUTE(SUBSTITUTE(SUBSTITUTE(SUBSTITUTE(E594,"TRESEMME","Tresemme"),"HEAD &amp; SHOULDERS","Head &amp; Shoulders"),"ELVIVE","Elvive"),"FRUCTIS","Fructis")))</f>
        <v/>
      </c>
      <c r="R594" s="8">
        <f>COUNTIF($D$2:$D$10000,D594)&gt;1</f>
        <v/>
      </c>
      <c r="S594" s="8">
        <f>IF(H594=TRUE,"Disponible","No disponible")</f>
        <v/>
      </c>
      <c r="T594" s="8">
        <f>IF(AND(ISNUMBER(I594),I594&gt;0),ROUND(F594/I594,2),"Sin volumen")</f>
        <v/>
      </c>
      <c r="U594" s="8">
        <f>IF(F594&lt;5000,"Bajo",IF(F594&lt;15000,"Medio","Alto"))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TRIM(CLEAN(PROPER(D595)))</f>
        <v/>
      </c>
      <c r="Q595">
        <f>PROPER(TRIM(SUBSTITUTE(SUBSTITUTE(SUBSTITUTE(SUBSTITUTE(E595,"TRESEMME","Tresemme"),"HEAD &amp; SHOULDERS","Head &amp; Shoulders"),"ELVIVE","Elvive"),"FRUCTIS","Fructis")))</f>
        <v/>
      </c>
      <c r="R595">
        <f>COUNTIF($D$2:$D$10000,D595)&gt;1</f>
        <v/>
      </c>
      <c r="S595">
        <f>IF(H595=TRUE,"Disponible","No disponible")</f>
        <v/>
      </c>
      <c r="T595">
        <f>IF(AND(ISNUMBER(I595),I595&gt;0),ROUND(F595/I595,2),"Sin volumen")</f>
        <v/>
      </c>
      <c r="U595">
        <f>IF(F595&lt;5000,"Bajo",IF(F595&lt;15000,"Medio","Alto"))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TRIM(CLEAN(PROPER(D596)))</f>
        <v/>
      </c>
      <c r="Q596" s="8">
        <f>PROPER(TRIM(SUBSTITUTE(SUBSTITUTE(SUBSTITUTE(SUBSTITUTE(E596,"TRESEMME","Tresemme"),"HEAD &amp; SHOULDERS","Head &amp; Shoulders"),"ELVIVE","Elvive"),"FRUCTIS","Fructis")))</f>
        <v/>
      </c>
      <c r="R596" s="8">
        <f>COUNTIF($D$2:$D$10000,D596)&gt;1</f>
        <v/>
      </c>
      <c r="S596" s="8">
        <f>IF(H596=TRUE,"Disponible","No disponible")</f>
        <v/>
      </c>
      <c r="T596" s="8">
        <f>IF(AND(ISNUMBER(I596),I596&gt;0),ROUND(F596/I596,2),"Sin volumen")</f>
        <v/>
      </c>
      <c r="U596" s="8">
        <f>IF(F596&lt;5000,"Bajo",IF(F596&lt;15000,"Medio","Alto"))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TRIM(CLEAN(PROPER(D597)))</f>
        <v/>
      </c>
      <c r="Q597">
        <f>PROPER(TRIM(SUBSTITUTE(SUBSTITUTE(SUBSTITUTE(SUBSTITUTE(E597,"TRESEMME","Tresemme"),"HEAD &amp; SHOULDERS","Head &amp; Shoulders"),"ELVIVE","Elvive"),"FRUCTIS","Fructis")))</f>
        <v/>
      </c>
      <c r="R597">
        <f>COUNTIF($D$2:$D$10000,D597)&gt;1</f>
        <v/>
      </c>
      <c r="S597">
        <f>IF(H597=TRUE,"Disponible","No disponible")</f>
        <v/>
      </c>
      <c r="T597">
        <f>IF(AND(ISNUMBER(I597),I597&gt;0),ROUND(F597/I597,2),"Sin volumen")</f>
        <v/>
      </c>
      <c r="U597">
        <f>IF(F597&lt;5000,"Bajo",IF(F597&lt;15000,"Medio","Alto"))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TRIM(CLEAN(PROPER(D598)))</f>
        <v/>
      </c>
      <c r="Q598" s="8">
        <f>PROPER(TRIM(SUBSTITUTE(SUBSTITUTE(SUBSTITUTE(SUBSTITUTE(E598,"TRESEMME","Tresemme"),"HEAD &amp; SHOULDERS","Head &amp; Shoulders"),"ELVIVE","Elvive"),"FRUCTIS","Fructis")))</f>
        <v/>
      </c>
      <c r="R598" s="8">
        <f>COUNTIF($D$2:$D$10000,D598)&gt;1</f>
        <v/>
      </c>
      <c r="S598" s="8">
        <f>IF(H598=TRUE,"Disponible","No disponible")</f>
        <v/>
      </c>
      <c r="T598" s="8">
        <f>IF(AND(ISNUMBER(I598),I598&gt;0),ROUND(F598/I598,2),"Sin volumen")</f>
        <v/>
      </c>
      <c r="U598" s="8">
        <f>IF(F598&lt;5000,"Bajo",IF(F598&lt;15000,"Medio","Alto"))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TRIM(CLEAN(PROPER(D599)))</f>
        <v/>
      </c>
      <c r="Q599">
        <f>PROPER(TRIM(SUBSTITUTE(SUBSTITUTE(SUBSTITUTE(SUBSTITUTE(E599,"TRESEMME","Tresemme"),"HEAD &amp; SHOULDERS","Head &amp; Shoulders"),"ELVIVE","Elvive"),"FRUCTIS","Fructis")))</f>
        <v/>
      </c>
      <c r="R599">
        <f>COUNTIF($D$2:$D$10000,D599)&gt;1</f>
        <v/>
      </c>
      <c r="S599">
        <f>IF(H599=TRUE,"Disponible","No disponible")</f>
        <v/>
      </c>
      <c r="T599">
        <f>IF(AND(ISNUMBER(I599),I599&gt;0),ROUND(F599/I599,2),"Sin volumen")</f>
        <v/>
      </c>
      <c r="U599">
        <f>IF(F599&lt;5000,"Bajo",IF(F599&lt;15000,"Medio","Alto"))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TRIM(CLEAN(PROPER(D600)))</f>
        <v/>
      </c>
      <c r="Q600" s="8">
        <f>PROPER(TRIM(SUBSTITUTE(SUBSTITUTE(SUBSTITUTE(SUBSTITUTE(E600,"TRESEMME","Tresemme"),"HEAD &amp; SHOULDERS","Head &amp; Shoulders"),"ELVIVE","Elvive"),"FRUCTIS","Fructis")))</f>
        <v/>
      </c>
      <c r="R600" s="8">
        <f>COUNTIF($D$2:$D$10000,D600)&gt;1</f>
        <v/>
      </c>
      <c r="S600" s="8">
        <f>IF(H600=TRUE,"Disponible","No disponible")</f>
        <v/>
      </c>
      <c r="T600" s="8">
        <f>IF(AND(ISNUMBER(I600),I600&gt;0),ROUND(F600/I600,2),"Sin volumen")</f>
        <v/>
      </c>
      <c r="U600" s="8">
        <f>IF(F600&lt;5000,"Bajo",IF(F600&lt;15000,"Medio","Alto"))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TRIM(CLEAN(PROPER(D601)))</f>
        <v/>
      </c>
      <c r="Q601">
        <f>PROPER(TRIM(SUBSTITUTE(SUBSTITUTE(SUBSTITUTE(SUBSTITUTE(E601,"TRESEMME","Tresemme"),"HEAD &amp; SHOULDERS","Head &amp; Shoulders"),"ELVIVE","Elvive"),"FRUCTIS","Fructis")))</f>
        <v/>
      </c>
      <c r="R601">
        <f>COUNTIF($D$2:$D$10000,D601)&gt;1</f>
        <v/>
      </c>
      <c r="S601">
        <f>IF(H601=TRUE,"Disponible","No disponible")</f>
        <v/>
      </c>
      <c r="T601">
        <f>IF(AND(ISNUMBER(I601),I601&gt;0),ROUND(F601/I601,2),"Sin volumen")</f>
        <v/>
      </c>
      <c r="U601">
        <f>IF(F601&lt;5000,"Bajo",IF(F601&lt;15000,"Medio","Alto"))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TRIM(CLEAN(PROPER(D602)))</f>
        <v/>
      </c>
      <c r="Q602" s="8">
        <f>PROPER(TRIM(SUBSTITUTE(SUBSTITUTE(SUBSTITUTE(SUBSTITUTE(E602,"TRESEMME","Tresemme"),"HEAD &amp; SHOULDERS","Head &amp; Shoulders"),"ELVIVE","Elvive"),"FRUCTIS","Fructis")))</f>
        <v/>
      </c>
      <c r="R602" s="8">
        <f>COUNTIF($D$2:$D$10000,D602)&gt;1</f>
        <v/>
      </c>
      <c r="S602" s="8">
        <f>IF(H602=TRUE,"Disponible","No disponible")</f>
        <v/>
      </c>
      <c r="T602" s="8">
        <f>IF(AND(ISNUMBER(I602),I602&gt;0),ROUND(F602/I602,2),"Sin volumen")</f>
        <v/>
      </c>
      <c r="U602" s="8">
        <f>IF(F602&lt;5000,"Bajo",IF(F602&lt;15000,"Medio","Alto"))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TRIM(CLEAN(PROPER(D603)))</f>
        <v/>
      </c>
      <c r="Q603">
        <f>PROPER(TRIM(SUBSTITUTE(SUBSTITUTE(SUBSTITUTE(SUBSTITUTE(E603,"TRESEMME","Tresemme"),"HEAD &amp; SHOULDERS","Head &amp; Shoulders"),"ELVIVE","Elvive"),"FRUCTIS","Fructis")))</f>
        <v/>
      </c>
      <c r="R603">
        <f>COUNTIF($D$2:$D$10000,D603)&gt;1</f>
        <v/>
      </c>
      <c r="S603">
        <f>IF(H603=TRUE,"Disponible","No disponible")</f>
        <v/>
      </c>
      <c r="T603">
        <f>IF(AND(ISNUMBER(I603),I603&gt;0),ROUND(F603/I603,2),"Sin volumen")</f>
        <v/>
      </c>
      <c r="U603">
        <f>IF(F603&lt;5000,"Bajo",IF(F603&lt;15000,"Medio","Alto"))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TRIM(CLEAN(PROPER(D604)))</f>
        <v/>
      </c>
      <c r="Q604" s="8">
        <f>PROPER(TRIM(SUBSTITUTE(SUBSTITUTE(SUBSTITUTE(SUBSTITUTE(E604,"TRESEMME","Tresemme"),"HEAD &amp; SHOULDERS","Head &amp; Shoulders"),"ELVIVE","Elvive"),"FRUCTIS","Fructis")))</f>
        <v/>
      </c>
      <c r="R604" s="8">
        <f>COUNTIF($D$2:$D$10000,D604)&gt;1</f>
        <v/>
      </c>
      <c r="S604" s="8">
        <f>IF(H604=TRUE,"Disponible","No disponible")</f>
        <v/>
      </c>
      <c r="T604" s="8">
        <f>IF(AND(ISNUMBER(I604),I604&gt;0),ROUND(F604/I604,2),"Sin volumen")</f>
        <v/>
      </c>
      <c r="U604" s="8">
        <f>IF(F604&lt;5000,"Bajo",IF(F604&lt;15000,"Medio","Alto"))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TRIM(CLEAN(PROPER(D605)))</f>
        <v/>
      </c>
      <c r="Q605">
        <f>PROPER(TRIM(SUBSTITUTE(SUBSTITUTE(SUBSTITUTE(SUBSTITUTE(E605,"TRESEMME","Tresemme"),"HEAD &amp; SHOULDERS","Head &amp; Shoulders"),"ELVIVE","Elvive"),"FRUCTIS","Fructis")))</f>
        <v/>
      </c>
      <c r="R605">
        <f>COUNTIF($D$2:$D$10000,D605)&gt;1</f>
        <v/>
      </c>
      <c r="S605">
        <f>IF(H605=TRUE,"Disponible","No disponible")</f>
        <v/>
      </c>
      <c r="T605">
        <f>IF(AND(ISNUMBER(I605),I605&gt;0),ROUND(F605/I605,2),"Sin volumen")</f>
        <v/>
      </c>
      <c r="U605">
        <f>IF(F605&lt;5000,"Bajo",IF(F605&lt;15000,"Medio","Alto"))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TRIM(CLEAN(PROPER(D606)))</f>
        <v/>
      </c>
      <c r="Q606" s="8">
        <f>PROPER(TRIM(SUBSTITUTE(SUBSTITUTE(SUBSTITUTE(SUBSTITUTE(E606,"TRESEMME","Tresemme"),"HEAD &amp; SHOULDERS","Head &amp; Shoulders"),"ELVIVE","Elvive"),"FRUCTIS","Fructis")))</f>
        <v/>
      </c>
      <c r="R606" s="8">
        <f>COUNTIF($D$2:$D$10000,D606)&gt;1</f>
        <v/>
      </c>
      <c r="S606" s="8">
        <f>IF(H606=TRUE,"Disponible","No disponible")</f>
        <v/>
      </c>
      <c r="T606" s="8">
        <f>IF(AND(ISNUMBER(I606),I606&gt;0),ROUND(F606/I606,2),"Sin volumen")</f>
        <v/>
      </c>
      <c r="U606" s="8">
        <f>IF(F606&lt;5000,"Bajo",IF(F606&lt;15000,"Medio","Alto"))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TRIM(CLEAN(PROPER(D607)))</f>
        <v/>
      </c>
      <c r="Q607">
        <f>PROPER(TRIM(SUBSTITUTE(SUBSTITUTE(SUBSTITUTE(SUBSTITUTE(E607,"TRESEMME","Tresemme"),"HEAD &amp; SHOULDERS","Head &amp; Shoulders"),"ELVIVE","Elvive"),"FRUCTIS","Fructis")))</f>
        <v/>
      </c>
      <c r="R607">
        <f>COUNTIF($D$2:$D$10000,D607)&gt;1</f>
        <v/>
      </c>
      <c r="S607">
        <f>IF(H607=TRUE,"Disponible","No disponible")</f>
        <v/>
      </c>
      <c r="T607">
        <f>IF(AND(ISNUMBER(I607),I607&gt;0),ROUND(F607/I607,2),"Sin volumen")</f>
        <v/>
      </c>
      <c r="U607">
        <f>IF(F607&lt;5000,"Bajo",IF(F607&lt;15000,"Medio","Alto"))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TRIM(CLEAN(PROPER(D608)))</f>
        <v/>
      </c>
      <c r="Q608" s="8">
        <f>PROPER(TRIM(SUBSTITUTE(SUBSTITUTE(SUBSTITUTE(SUBSTITUTE(E608,"TRESEMME","Tresemme"),"HEAD &amp; SHOULDERS","Head &amp; Shoulders"),"ELVIVE","Elvive"),"FRUCTIS","Fructis")))</f>
        <v/>
      </c>
      <c r="R608" s="8">
        <f>COUNTIF($D$2:$D$10000,D608)&gt;1</f>
        <v/>
      </c>
      <c r="S608" s="8">
        <f>IF(H608=TRUE,"Disponible","No disponible")</f>
        <v/>
      </c>
      <c r="T608" s="8">
        <f>IF(AND(ISNUMBER(I608),I608&gt;0),ROUND(F608/I608,2),"Sin volumen")</f>
        <v/>
      </c>
      <c r="U608" s="8">
        <f>IF(F608&lt;5000,"Bajo",IF(F608&lt;15000,"Medio","Alto"))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TRIM(CLEAN(PROPER(D609)))</f>
        <v/>
      </c>
      <c r="Q609">
        <f>PROPER(TRIM(SUBSTITUTE(SUBSTITUTE(SUBSTITUTE(SUBSTITUTE(E609,"TRESEMME","Tresemme"),"HEAD &amp; SHOULDERS","Head &amp; Shoulders"),"ELVIVE","Elvive"),"FRUCTIS","Fructis")))</f>
        <v/>
      </c>
      <c r="R609">
        <f>COUNTIF($D$2:$D$10000,D609)&gt;1</f>
        <v/>
      </c>
      <c r="S609">
        <f>IF(H609=TRUE,"Disponible","No disponible")</f>
        <v/>
      </c>
      <c r="T609">
        <f>IF(AND(ISNUMBER(I609),I609&gt;0),ROUND(F609/I609,2),"Sin volumen")</f>
        <v/>
      </c>
      <c r="U609">
        <f>IF(F609&lt;5000,"Bajo",IF(F609&lt;15000,"Medio","Alto"))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TRIM(CLEAN(PROPER(D610)))</f>
        <v/>
      </c>
      <c r="Q610" s="8">
        <f>PROPER(TRIM(SUBSTITUTE(SUBSTITUTE(SUBSTITUTE(SUBSTITUTE(E610,"TRESEMME","Tresemme"),"HEAD &amp; SHOULDERS","Head &amp; Shoulders"),"ELVIVE","Elvive"),"FRUCTIS","Fructis")))</f>
        <v/>
      </c>
      <c r="R610" s="8">
        <f>COUNTIF($D$2:$D$10000,D610)&gt;1</f>
        <v/>
      </c>
      <c r="S610" s="8">
        <f>IF(H610=TRUE,"Disponible","No disponible")</f>
        <v/>
      </c>
      <c r="T610" s="8">
        <f>IF(AND(ISNUMBER(I610),I610&gt;0),ROUND(F610/I610,2),"Sin volumen")</f>
        <v/>
      </c>
      <c r="U610" s="8">
        <f>IF(F610&lt;5000,"Bajo",IF(F610&lt;15000,"Medio","Alto"))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TRIM(CLEAN(PROPER(D611)))</f>
        <v/>
      </c>
      <c r="Q611">
        <f>PROPER(TRIM(SUBSTITUTE(SUBSTITUTE(SUBSTITUTE(SUBSTITUTE(E611,"TRESEMME","Tresemme"),"HEAD &amp; SHOULDERS","Head &amp; Shoulders"),"ELVIVE","Elvive"),"FRUCTIS","Fructis")))</f>
        <v/>
      </c>
      <c r="R611">
        <f>COUNTIF($D$2:$D$10000,D611)&gt;1</f>
        <v/>
      </c>
      <c r="S611">
        <f>IF(H611=TRUE,"Disponible","No disponible")</f>
        <v/>
      </c>
      <c r="T611">
        <f>IF(AND(ISNUMBER(I611),I611&gt;0),ROUND(F611/I611,2),"Sin volumen")</f>
        <v/>
      </c>
      <c r="U611">
        <f>IF(F611&lt;5000,"Bajo",IF(F611&lt;15000,"Medio","Alto"))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TRIM(CLEAN(PROPER(D612)))</f>
        <v/>
      </c>
      <c r="Q612" s="8">
        <f>PROPER(TRIM(SUBSTITUTE(SUBSTITUTE(SUBSTITUTE(SUBSTITUTE(E612,"TRESEMME","Tresemme"),"HEAD &amp; SHOULDERS","Head &amp; Shoulders"),"ELVIVE","Elvive"),"FRUCTIS","Fructis")))</f>
        <v/>
      </c>
      <c r="R612" s="8">
        <f>COUNTIF($D$2:$D$10000,D612)&gt;1</f>
        <v/>
      </c>
      <c r="S612" s="8">
        <f>IF(H612=TRUE,"Disponible","No disponible")</f>
        <v/>
      </c>
      <c r="T612" s="8">
        <f>IF(AND(ISNUMBER(I612),I612&gt;0),ROUND(F612/I612,2),"Sin volumen")</f>
        <v/>
      </c>
      <c r="U612" s="8">
        <f>IF(F612&lt;5000,"Bajo",IF(F612&lt;15000,"Medio","Alto"))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TRIM(CLEAN(PROPER(D613)))</f>
        <v/>
      </c>
      <c r="Q613">
        <f>PROPER(TRIM(SUBSTITUTE(SUBSTITUTE(SUBSTITUTE(SUBSTITUTE(E613,"TRESEMME","Tresemme"),"HEAD &amp; SHOULDERS","Head &amp; Shoulders"),"ELVIVE","Elvive"),"FRUCTIS","Fructis")))</f>
        <v/>
      </c>
      <c r="R613">
        <f>COUNTIF($D$2:$D$10000,D613)&gt;1</f>
        <v/>
      </c>
      <c r="S613">
        <f>IF(H613=TRUE,"Disponible","No disponible")</f>
        <v/>
      </c>
      <c r="T613">
        <f>IF(AND(ISNUMBER(I613),I613&gt;0),ROUND(F613/I613,2),"Sin volumen")</f>
        <v/>
      </c>
      <c r="U613">
        <f>IF(F613&lt;5000,"Bajo",IF(F613&lt;15000,"Medio","Alto"))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TRIM(CLEAN(PROPER(D614)))</f>
        <v/>
      </c>
      <c r="Q614" s="8">
        <f>PROPER(TRIM(SUBSTITUTE(SUBSTITUTE(SUBSTITUTE(SUBSTITUTE(E614,"TRESEMME","Tresemme"),"HEAD &amp; SHOULDERS","Head &amp; Shoulders"),"ELVIVE","Elvive"),"FRUCTIS","Fructis")))</f>
        <v/>
      </c>
      <c r="R614" s="8">
        <f>COUNTIF($D$2:$D$10000,D614)&gt;1</f>
        <v/>
      </c>
      <c r="S614" s="8">
        <f>IF(H614=TRUE,"Disponible","No disponible")</f>
        <v/>
      </c>
      <c r="T614" s="8">
        <f>IF(AND(ISNUMBER(I614),I614&gt;0),ROUND(F614/I614,2),"Sin volumen")</f>
        <v/>
      </c>
      <c r="U614" s="8">
        <f>IF(F614&lt;5000,"Bajo",IF(F614&lt;15000,"Medio","Alto"))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TRIM(CLEAN(PROPER(D615)))</f>
        <v/>
      </c>
      <c r="Q615">
        <f>PROPER(TRIM(SUBSTITUTE(SUBSTITUTE(SUBSTITUTE(SUBSTITUTE(E615,"TRESEMME","Tresemme"),"HEAD &amp; SHOULDERS","Head &amp; Shoulders"),"ELVIVE","Elvive"),"FRUCTIS","Fructis")))</f>
        <v/>
      </c>
      <c r="R615">
        <f>COUNTIF($D$2:$D$10000,D615)&gt;1</f>
        <v/>
      </c>
      <c r="S615">
        <f>IF(H615=TRUE,"Disponible","No disponible")</f>
        <v/>
      </c>
      <c r="T615">
        <f>IF(AND(ISNUMBER(I615),I615&gt;0),ROUND(F615/I615,2),"Sin volumen")</f>
        <v/>
      </c>
      <c r="U615">
        <f>IF(F615&lt;5000,"Bajo",IF(F615&lt;15000,"Medio","Alto"))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TRIM(CLEAN(PROPER(D616)))</f>
        <v/>
      </c>
      <c r="Q616" s="8">
        <f>PROPER(TRIM(SUBSTITUTE(SUBSTITUTE(SUBSTITUTE(SUBSTITUTE(E616,"TRESEMME","Tresemme"),"HEAD &amp; SHOULDERS","Head &amp; Shoulders"),"ELVIVE","Elvive"),"FRUCTIS","Fructis")))</f>
        <v/>
      </c>
      <c r="R616" s="8">
        <f>COUNTIF($D$2:$D$10000,D616)&gt;1</f>
        <v/>
      </c>
      <c r="S616" s="8">
        <f>IF(H616=TRUE,"Disponible","No disponible")</f>
        <v/>
      </c>
      <c r="T616" s="8">
        <f>IF(AND(ISNUMBER(I616),I616&gt;0),ROUND(F616/I616,2),"Sin volumen")</f>
        <v/>
      </c>
      <c r="U616" s="8">
        <f>IF(F616&lt;5000,"Bajo",IF(F616&lt;15000,"Medio","Alto"))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TRIM(CLEAN(PROPER(D617)))</f>
        <v/>
      </c>
      <c r="Q617">
        <f>PROPER(TRIM(SUBSTITUTE(SUBSTITUTE(SUBSTITUTE(SUBSTITUTE(E617,"TRESEMME","Tresemme"),"HEAD &amp; SHOULDERS","Head &amp; Shoulders"),"ELVIVE","Elvive"),"FRUCTIS","Fructis")))</f>
        <v/>
      </c>
      <c r="R617">
        <f>COUNTIF($D$2:$D$10000,D617)&gt;1</f>
        <v/>
      </c>
      <c r="S617">
        <f>IF(H617=TRUE,"Disponible","No disponible")</f>
        <v/>
      </c>
      <c r="T617">
        <f>IF(AND(ISNUMBER(I617),I617&gt;0),ROUND(F617/I617,2),"Sin volumen")</f>
        <v/>
      </c>
      <c r="U617">
        <f>IF(F617&lt;5000,"Bajo",IF(F617&lt;15000,"Medio","Alto"))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TRIM(CLEAN(PROPER(D618)))</f>
        <v/>
      </c>
      <c r="Q618" s="8">
        <f>PROPER(TRIM(SUBSTITUTE(SUBSTITUTE(SUBSTITUTE(SUBSTITUTE(E618,"TRESEMME","Tresemme"),"HEAD &amp; SHOULDERS","Head &amp; Shoulders"),"ELVIVE","Elvive"),"FRUCTIS","Fructis")))</f>
        <v/>
      </c>
      <c r="R618" s="8">
        <f>COUNTIF($D$2:$D$10000,D618)&gt;1</f>
        <v/>
      </c>
      <c r="S618" s="8">
        <f>IF(H618=TRUE,"Disponible","No disponible")</f>
        <v/>
      </c>
      <c r="T618" s="8">
        <f>IF(AND(ISNUMBER(I618),I618&gt;0),ROUND(F618/I618,2),"Sin volumen")</f>
        <v/>
      </c>
      <c r="U618" s="8">
        <f>IF(F618&lt;5000,"Bajo",IF(F618&lt;15000,"Medio","Alto"))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TRIM(CLEAN(PROPER(D619)))</f>
        <v/>
      </c>
      <c r="Q619">
        <f>PROPER(TRIM(SUBSTITUTE(SUBSTITUTE(SUBSTITUTE(SUBSTITUTE(E619,"TRESEMME","Tresemme"),"HEAD &amp; SHOULDERS","Head &amp; Shoulders"),"ELVIVE","Elvive"),"FRUCTIS","Fructis")))</f>
        <v/>
      </c>
      <c r="R619">
        <f>COUNTIF($D$2:$D$10000,D619)&gt;1</f>
        <v/>
      </c>
      <c r="S619">
        <f>IF(H619=TRUE,"Disponible","No disponible")</f>
        <v/>
      </c>
      <c r="T619">
        <f>IF(AND(ISNUMBER(I619),I619&gt;0),ROUND(F619/I619,2),"Sin volumen")</f>
        <v/>
      </c>
      <c r="U619">
        <f>IF(F619&lt;5000,"Bajo",IF(F619&lt;15000,"Medio","Alto"))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TRIM(CLEAN(PROPER(D620)))</f>
        <v/>
      </c>
      <c r="Q620" s="8">
        <f>PROPER(TRIM(SUBSTITUTE(SUBSTITUTE(SUBSTITUTE(SUBSTITUTE(E620,"TRESEMME","Tresemme"),"HEAD &amp; SHOULDERS","Head &amp; Shoulders"),"ELVIVE","Elvive"),"FRUCTIS","Fructis")))</f>
        <v/>
      </c>
      <c r="R620" s="8">
        <f>COUNTIF($D$2:$D$10000,D620)&gt;1</f>
        <v/>
      </c>
      <c r="S620" s="8">
        <f>IF(H620=TRUE,"Disponible","No disponible")</f>
        <v/>
      </c>
      <c r="T620" s="8">
        <f>IF(AND(ISNUMBER(I620),I620&gt;0),ROUND(F620/I620,2),"Sin volumen")</f>
        <v/>
      </c>
      <c r="U620" s="8">
        <f>IF(F620&lt;5000,"Bajo",IF(F620&lt;15000,"Medio","Alto"))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TRIM(CLEAN(PROPER(D621)))</f>
        <v/>
      </c>
      <c r="Q621">
        <f>PROPER(TRIM(SUBSTITUTE(SUBSTITUTE(SUBSTITUTE(SUBSTITUTE(E621,"TRESEMME","Tresemme"),"HEAD &amp; SHOULDERS","Head &amp; Shoulders"),"ELVIVE","Elvive"),"FRUCTIS","Fructis")))</f>
        <v/>
      </c>
      <c r="R621">
        <f>COUNTIF($D$2:$D$10000,D621)&gt;1</f>
        <v/>
      </c>
      <c r="S621">
        <f>IF(H621=TRUE,"Disponible","No disponible")</f>
        <v/>
      </c>
      <c r="T621">
        <f>IF(AND(ISNUMBER(I621),I621&gt;0),ROUND(F621/I621,2),"Sin volumen")</f>
        <v/>
      </c>
      <c r="U621">
        <f>IF(F621&lt;5000,"Bajo",IF(F621&lt;15000,"Medio","Alto"))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TRIM(CLEAN(PROPER(D622)))</f>
        <v/>
      </c>
      <c r="Q622" s="8">
        <f>PROPER(TRIM(SUBSTITUTE(SUBSTITUTE(SUBSTITUTE(SUBSTITUTE(E622,"TRESEMME","Tresemme"),"HEAD &amp; SHOULDERS","Head &amp; Shoulders"),"ELVIVE","Elvive"),"FRUCTIS","Fructis")))</f>
        <v/>
      </c>
      <c r="R622" s="8">
        <f>COUNTIF($D$2:$D$10000,D622)&gt;1</f>
        <v/>
      </c>
      <c r="S622" s="8">
        <f>IF(H622=TRUE,"Disponible","No disponible")</f>
        <v/>
      </c>
      <c r="T622" s="8">
        <f>IF(AND(ISNUMBER(I622),I622&gt;0),ROUND(F622/I622,2),"Sin volumen")</f>
        <v/>
      </c>
      <c r="U622" s="8">
        <f>IF(F622&lt;5000,"Bajo",IF(F622&lt;15000,"Medio","Alto"))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TRIM(CLEAN(PROPER(D623)))</f>
        <v/>
      </c>
      <c r="Q623">
        <f>PROPER(TRIM(SUBSTITUTE(SUBSTITUTE(SUBSTITUTE(SUBSTITUTE(E623,"TRESEMME","Tresemme"),"HEAD &amp; SHOULDERS","Head &amp; Shoulders"),"ELVIVE","Elvive"),"FRUCTIS","Fructis")))</f>
        <v/>
      </c>
      <c r="R623">
        <f>COUNTIF($D$2:$D$10000,D623)&gt;1</f>
        <v/>
      </c>
      <c r="S623">
        <f>IF(H623=TRUE,"Disponible","No disponible")</f>
        <v/>
      </c>
      <c r="T623">
        <f>IF(AND(ISNUMBER(I623),I623&gt;0),ROUND(F623/I623,2),"Sin volumen")</f>
        <v/>
      </c>
      <c r="U623">
        <f>IF(F623&lt;5000,"Bajo",IF(F623&lt;15000,"Medio","Alto"))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TRIM(CLEAN(PROPER(D624)))</f>
        <v/>
      </c>
      <c r="Q624" s="8">
        <f>PROPER(TRIM(SUBSTITUTE(SUBSTITUTE(SUBSTITUTE(SUBSTITUTE(E624,"TRESEMME","Tresemme"),"HEAD &amp; SHOULDERS","Head &amp; Shoulders"),"ELVIVE","Elvive"),"FRUCTIS","Fructis")))</f>
        <v/>
      </c>
      <c r="R624" s="8">
        <f>COUNTIF($D$2:$D$10000,D624)&gt;1</f>
        <v/>
      </c>
      <c r="S624" s="8">
        <f>IF(H624=TRUE,"Disponible","No disponible")</f>
        <v/>
      </c>
      <c r="T624" s="8">
        <f>IF(AND(ISNUMBER(I624),I624&gt;0),ROUND(F624/I624,2),"Sin volumen")</f>
        <v/>
      </c>
      <c r="U624" s="8">
        <f>IF(F624&lt;5000,"Bajo",IF(F624&lt;15000,"Medio","Alto"))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TRIM(CLEAN(PROPER(D625)))</f>
        <v/>
      </c>
      <c r="Q625">
        <f>PROPER(TRIM(SUBSTITUTE(SUBSTITUTE(SUBSTITUTE(SUBSTITUTE(E625,"TRESEMME","Tresemme"),"HEAD &amp; SHOULDERS","Head &amp; Shoulders"),"ELVIVE","Elvive"),"FRUCTIS","Fructis")))</f>
        <v/>
      </c>
      <c r="R625">
        <f>COUNTIF($D$2:$D$10000,D625)&gt;1</f>
        <v/>
      </c>
      <c r="S625">
        <f>IF(H625=TRUE,"Disponible","No disponible")</f>
        <v/>
      </c>
      <c r="T625">
        <f>IF(AND(ISNUMBER(I625),I625&gt;0),ROUND(F625/I625,2),"Sin volumen")</f>
        <v/>
      </c>
      <c r="U625">
        <f>IF(F625&lt;5000,"Bajo",IF(F625&lt;15000,"Medio","Alto"))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TRIM(CLEAN(PROPER(D626)))</f>
        <v/>
      </c>
      <c r="Q626" s="8">
        <f>PROPER(TRIM(SUBSTITUTE(SUBSTITUTE(SUBSTITUTE(SUBSTITUTE(E626,"TRESEMME","Tresemme"),"HEAD &amp; SHOULDERS","Head &amp; Shoulders"),"ELVIVE","Elvive"),"FRUCTIS","Fructis")))</f>
        <v/>
      </c>
      <c r="R626" s="8">
        <f>COUNTIF($D$2:$D$10000,D626)&gt;1</f>
        <v/>
      </c>
      <c r="S626" s="8">
        <f>IF(H626=TRUE,"Disponible","No disponible")</f>
        <v/>
      </c>
      <c r="T626" s="8">
        <f>IF(AND(ISNUMBER(I626),I626&gt;0),ROUND(F626/I626,2),"Sin volumen")</f>
        <v/>
      </c>
      <c r="U626" s="8">
        <f>IF(F626&lt;5000,"Bajo",IF(F626&lt;15000,"Medio","Alto"))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TRIM(CLEAN(PROPER(D627)))</f>
        <v/>
      </c>
      <c r="Q627">
        <f>PROPER(TRIM(SUBSTITUTE(SUBSTITUTE(SUBSTITUTE(SUBSTITUTE(E627,"TRESEMME","Tresemme"),"HEAD &amp; SHOULDERS","Head &amp; Shoulders"),"ELVIVE","Elvive"),"FRUCTIS","Fructis")))</f>
        <v/>
      </c>
      <c r="R627">
        <f>COUNTIF($D$2:$D$10000,D627)&gt;1</f>
        <v/>
      </c>
      <c r="S627">
        <f>IF(H627=TRUE,"Disponible","No disponible")</f>
        <v/>
      </c>
      <c r="T627">
        <f>IF(AND(ISNUMBER(I627),I627&gt;0),ROUND(F627/I627,2),"Sin volumen")</f>
        <v/>
      </c>
      <c r="U627">
        <f>IF(F627&lt;5000,"Bajo",IF(F627&lt;15000,"Medio","Alto"))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TRIM(CLEAN(PROPER(D628)))</f>
        <v/>
      </c>
      <c r="Q628" s="8">
        <f>PROPER(TRIM(SUBSTITUTE(SUBSTITUTE(SUBSTITUTE(SUBSTITUTE(E628,"TRESEMME","Tresemme"),"HEAD &amp; SHOULDERS","Head &amp; Shoulders"),"ELVIVE","Elvive"),"FRUCTIS","Fructis")))</f>
        <v/>
      </c>
      <c r="R628" s="8">
        <f>COUNTIF($D$2:$D$10000,D628)&gt;1</f>
        <v/>
      </c>
      <c r="S628" s="8">
        <f>IF(H628=TRUE,"Disponible","No disponible")</f>
        <v/>
      </c>
      <c r="T628" s="8">
        <f>IF(AND(ISNUMBER(I628),I628&gt;0),ROUND(F628/I628,2),"Sin volumen")</f>
        <v/>
      </c>
      <c r="U628" s="8">
        <f>IF(F628&lt;5000,"Bajo",IF(F628&lt;15000,"Medio","Alto"))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TRIM(CLEAN(PROPER(D629)))</f>
        <v/>
      </c>
      <c r="Q629">
        <f>PROPER(TRIM(SUBSTITUTE(SUBSTITUTE(SUBSTITUTE(SUBSTITUTE(E629,"TRESEMME","Tresemme"),"HEAD &amp; SHOULDERS","Head &amp; Shoulders"),"ELVIVE","Elvive"),"FRUCTIS","Fructis")))</f>
        <v/>
      </c>
      <c r="R629">
        <f>COUNTIF($D$2:$D$10000,D629)&gt;1</f>
        <v/>
      </c>
      <c r="S629">
        <f>IF(H629=TRUE,"Disponible","No disponible")</f>
        <v/>
      </c>
      <c r="T629">
        <f>IF(AND(ISNUMBER(I629),I629&gt;0),ROUND(F629/I629,2),"Sin volumen")</f>
        <v/>
      </c>
      <c r="U629">
        <f>IF(F629&lt;5000,"Bajo",IF(F629&lt;15000,"Medio","Alto"))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TRIM(CLEAN(PROPER(D630)))</f>
        <v/>
      </c>
      <c r="Q630" s="8">
        <f>PROPER(TRIM(SUBSTITUTE(SUBSTITUTE(SUBSTITUTE(SUBSTITUTE(E630,"TRESEMME","Tresemme"),"HEAD &amp; SHOULDERS","Head &amp; Shoulders"),"ELVIVE","Elvive"),"FRUCTIS","Fructis")))</f>
        <v/>
      </c>
      <c r="R630" s="8">
        <f>COUNTIF($D$2:$D$10000,D630)&gt;1</f>
        <v/>
      </c>
      <c r="S630" s="8">
        <f>IF(H630=TRUE,"Disponible","No disponible")</f>
        <v/>
      </c>
      <c r="T630" s="8">
        <f>IF(AND(ISNUMBER(I630),I630&gt;0),ROUND(F630/I630,2),"Sin volumen")</f>
        <v/>
      </c>
      <c r="U630" s="8">
        <f>IF(F630&lt;5000,"Bajo",IF(F630&lt;15000,"Medio","Alto"))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TRIM(CLEAN(PROPER(D631)))</f>
        <v/>
      </c>
      <c r="Q631">
        <f>PROPER(TRIM(SUBSTITUTE(SUBSTITUTE(SUBSTITUTE(SUBSTITUTE(E631,"TRESEMME","Tresemme"),"HEAD &amp; SHOULDERS","Head &amp; Shoulders"),"ELVIVE","Elvive"),"FRUCTIS","Fructis")))</f>
        <v/>
      </c>
      <c r="R631">
        <f>COUNTIF($D$2:$D$10000,D631)&gt;1</f>
        <v/>
      </c>
      <c r="S631">
        <f>IF(H631=TRUE,"Disponible","No disponible")</f>
        <v/>
      </c>
      <c r="T631">
        <f>IF(AND(ISNUMBER(I631),I631&gt;0),ROUND(F631/I631,2),"Sin volumen")</f>
        <v/>
      </c>
      <c r="U631">
        <f>IF(F631&lt;5000,"Bajo",IF(F631&lt;15000,"Medio","Alto"))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TRIM(CLEAN(PROPER(D632)))</f>
        <v/>
      </c>
      <c r="Q632" s="8">
        <f>PROPER(TRIM(SUBSTITUTE(SUBSTITUTE(SUBSTITUTE(SUBSTITUTE(E632,"TRESEMME","Tresemme"),"HEAD &amp; SHOULDERS","Head &amp; Shoulders"),"ELVIVE","Elvive"),"FRUCTIS","Fructis")))</f>
        <v/>
      </c>
      <c r="R632" s="8">
        <f>COUNTIF($D$2:$D$10000,D632)&gt;1</f>
        <v/>
      </c>
      <c r="S632" s="8">
        <f>IF(H632=TRUE,"Disponible","No disponible")</f>
        <v/>
      </c>
      <c r="T632" s="8">
        <f>IF(AND(ISNUMBER(I632),I632&gt;0),ROUND(F632/I632,2),"Sin volumen")</f>
        <v/>
      </c>
      <c r="U632" s="8">
        <f>IF(F632&lt;5000,"Bajo",IF(F632&lt;15000,"Medio","Alto"))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TRIM(CLEAN(PROPER(D633)))</f>
        <v/>
      </c>
      <c r="Q633">
        <f>PROPER(TRIM(SUBSTITUTE(SUBSTITUTE(SUBSTITUTE(SUBSTITUTE(E633,"TRESEMME","Tresemme"),"HEAD &amp; SHOULDERS","Head &amp; Shoulders"),"ELVIVE","Elvive"),"FRUCTIS","Fructis")))</f>
        <v/>
      </c>
      <c r="R633">
        <f>COUNTIF($D$2:$D$10000,D633)&gt;1</f>
        <v/>
      </c>
      <c r="S633">
        <f>IF(H633=TRUE,"Disponible","No disponible")</f>
        <v/>
      </c>
      <c r="T633">
        <f>IF(AND(ISNUMBER(I633),I633&gt;0),ROUND(F633/I633,2),"Sin volumen")</f>
        <v/>
      </c>
      <c r="U633">
        <f>IF(F633&lt;5000,"Bajo",IF(F633&lt;15000,"Medio","Alto"))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TRIM(CLEAN(PROPER(D634)))</f>
        <v/>
      </c>
      <c r="Q634" s="8">
        <f>PROPER(TRIM(SUBSTITUTE(SUBSTITUTE(SUBSTITUTE(SUBSTITUTE(E634,"TRESEMME","Tresemme"),"HEAD &amp; SHOULDERS","Head &amp; Shoulders"),"ELVIVE","Elvive"),"FRUCTIS","Fructis")))</f>
        <v/>
      </c>
      <c r="R634" s="8">
        <f>COUNTIF($D$2:$D$10000,D634)&gt;1</f>
        <v/>
      </c>
      <c r="S634" s="8">
        <f>IF(H634=TRUE,"Disponible","No disponible")</f>
        <v/>
      </c>
      <c r="T634" s="8">
        <f>IF(AND(ISNUMBER(I634),I634&gt;0),ROUND(F634/I634,2),"Sin volumen")</f>
        <v/>
      </c>
      <c r="U634" s="8">
        <f>IF(F634&lt;5000,"Bajo",IF(F634&lt;15000,"Medio","Alto"))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TRIM(CLEAN(PROPER(D635)))</f>
        <v/>
      </c>
      <c r="Q635">
        <f>PROPER(TRIM(SUBSTITUTE(SUBSTITUTE(SUBSTITUTE(SUBSTITUTE(E635,"TRESEMME","Tresemme"),"HEAD &amp; SHOULDERS","Head &amp; Shoulders"),"ELVIVE","Elvive"),"FRUCTIS","Fructis")))</f>
        <v/>
      </c>
      <c r="R635">
        <f>COUNTIF($D$2:$D$10000,D635)&gt;1</f>
        <v/>
      </c>
      <c r="S635">
        <f>IF(H635=TRUE,"Disponible","No disponible")</f>
        <v/>
      </c>
      <c r="T635">
        <f>IF(AND(ISNUMBER(I635),I635&gt;0),ROUND(F635/I635,2),"Sin volumen")</f>
        <v/>
      </c>
      <c r="U635">
        <f>IF(F635&lt;5000,"Bajo",IF(F635&lt;15000,"Medio","Alto"))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TRIM(CLEAN(PROPER(D636)))</f>
        <v/>
      </c>
      <c r="Q636" s="8">
        <f>PROPER(TRIM(SUBSTITUTE(SUBSTITUTE(SUBSTITUTE(SUBSTITUTE(E636,"TRESEMME","Tresemme"),"HEAD &amp; SHOULDERS","Head &amp; Shoulders"),"ELVIVE","Elvive"),"FRUCTIS","Fructis")))</f>
        <v/>
      </c>
      <c r="R636" s="8">
        <f>COUNTIF($D$2:$D$10000,D636)&gt;1</f>
        <v/>
      </c>
      <c r="S636" s="8">
        <f>IF(H636=TRUE,"Disponible","No disponible")</f>
        <v/>
      </c>
      <c r="T636" s="8">
        <f>IF(AND(ISNUMBER(I636),I636&gt;0),ROUND(F636/I636,2),"Sin volumen")</f>
        <v/>
      </c>
      <c r="U636" s="8">
        <f>IF(F636&lt;5000,"Bajo",IF(F636&lt;15000,"Medio","Alto"))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TRIM(CLEAN(PROPER(D637)))</f>
        <v/>
      </c>
      <c r="Q637">
        <f>PROPER(TRIM(SUBSTITUTE(SUBSTITUTE(SUBSTITUTE(SUBSTITUTE(E637,"TRESEMME","Tresemme"),"HEAD &amp; SHOULDERS","Head &amp; Shoulders"),"ELVIVE","Elvive"),"FRUCTIS","Fructis")))</f>
        <v/>
      </c>
      <c r="R637">
        <f>COUNTIF($D$2:$D$10000,D637)&gt;1</f>
        <v/>
      </c>
      <c r="S637">
        <f>IF(H637=TRUE,"Disponible","No disponible")</f>
        <v/>
      </c>
      <c r="T637">
        <f>IF(AND(ISNUMBER(I637),I637&gt;0),ROUND(F637/I637,2),"Sin volumen")</f>
        <v/>
      </c>
      <c r="U637">
        <f>IF(F637&lt;5000,"Bajo",IF(F637&lt;15000,"Medio","Alto"))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TRIM(CLEAN(PROPER(D638)))</f>
        <v/>
      </c>
      <c r="Q638" s="8">
        <f>PROPER(TRIM(SUBSTITUTE(SUBSTITUTE(SUBSTITUTE(SUBSTITUTE(E638,"TRESEMME","Tresemme"),"HEAD &amp; SHOULDERS","Head &amp; Shoulders"),"ELVIVE","Elvive"),"FRUCTIS","Fructis")))</f>
        <v/>
      </c>
      <c r="R638" s="8">
        <f>COUNTIF($D$2:$D$10000,D638)&gt;1</f>
        <v/>
      </c>
      <c r="S638" s="8">
        <f>IF(H638=TRUE,"Disponible","No disponible")</f>
        <v/>
      </c>
      <c r="T638" s="8">
        <f>IF(AND(ISNUMBER(I638),I638&gt;0),ROUND(F638/I638,2),"Sin volumen")</f>
        <v/>
      </c>
      <c r="U638" s="8">
        <f>IF(F638&lt;5000,"Bajo",IF(F638&lt;15000,"Medio","Alto"))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TRIM(CLEAN(PROPER(D639)))</f>
        <v/>
      </c>
      <c r="Q639">
        <f>PROPER(TRIM(SUBSTITUTE(SUBSTITUTE(SUBSTITUTE(SUBSTITUTE(E639,"TRESEMME","Tresemme"),"HEAD &amp; SHOULDERS","Head &amp; Shoulders"),"ELVIVE","Elvive"),"FRUCTIS","Fructis")))</f>
        <v/>
      </c>
      <c r="R639">
        <f>COUNTIF($D$2:$D$10000,D639)&gt;1</f>
        <v/>
      </c>
      <c r="S639">
        <f>IF(H639=TRUE,"Disponible","No disponible")</f>
        <v/>
      </c>
      <c r="T639">
        <f>IF(AND(ISNUMBER(I639),I639&gt;0),ROUND(F639/I639,2),"Sin volumen")</f>
        <v/>
      </c>
      <c r="U639">
        <f>IF(F639&lt;5000,"Bajo",IF(F639&lt;15000,"Medio","Alto"))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TRIM(CLEAN(PROPER(D640)))</f>
        <v/>
      </c>
      <c r="Q640" s="8">
        <f>PROPER(TRIM(SUBSTITUTE(SUBSTITUTE(SUBSTITUTE(SUBSTITUTE(E640,"TRESEMME","Tresemme"),"HEAD &amp; SHOULDERS","Head &amp; Shoulders"),"ELVIVE","Elvive"),"FRUCTIS","Fructis")))</f>
        <v/>
      </c>
      <c r="R640" s="8">
        <f>COUNTIF($D$2:$D$10000,D640)&gt;1</f>
        <v/>
      </c>
      <c r="S640" s="8">
        <f>IF(H640=TRUE,"Disponible","No disponible")</f>
        <v/>
      </c>
      <c r="T640" s="8">
        <f>IF(AND(ISNUMBER(I640),I640&gt;0),ROUND(F640/I640,2),"Sin volumen")</f>
        <v/>
      </c>
      <c r="U640" s="8">
        <f>IF(F640&lt;5000,"Bajo",IF(F640&lt;15000,"Medio","Alto"))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TRIM(CLEAN(PROPER(D641)))</f>
        <v/>
      </c>
      <c r="Q641">
        <f>PROPER(TRIM(SUBSTITUTE(SUBSTITUTE(SUBSTITUTE(SUBSTITUTE(E641,"TRESEMME","Tresemme"),"HEAD &amp; SHOULDERS","Head &amp; Shoulders"),"ELVIVE","Elvive"),"FRUCTIS","Fructis")))</f>
        <v/>
      </c>
      <c r="R641">
        <f>COUNTIF($D$2:$D$10000,D641)&gt;1</f>
        <v/>
      </c>
      <c r="S641">
        <f>IF(H641=TRUE,"Disponible","No disponible")</f>
        <v/>
      </c>
      <c r="T641">
        <f>IF(AND(ISNUMBER(I641),I641&gt;0),ROUND(F641/I641,2),"Sin volumen")</f>
        <v/>
      </c>
      <c r="U641">
        <f>IF(F641&lt;5000,"Bajo",IF(F641&lt;15000,"Medio","Alto"))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TRIM(CLEAN(PROPER(D642)))</f>
        <v/>
      </c>
      <c r="Q642" s="8">
        <f>PROPER(TRIM(SUBSTITUTE(SUBSTITUTE(SUBSTITUTE(SUBSTITUTE(E642,"TRESEMME","Tresemme"),"HEAD &amp; SHOULDERS","Head &amp; Shoulders"),"ELVIVE","Elvive"),"FRUCTIS","Fructis")))</f>
        <v/>
      </c>
      <c r="R642" s="8">
        <f>COUNTIF($D$2:$D$10000,D642)&gt;1</f>
        <v/>
      </c>
      <c r="S642" s="8">
        <f>IF(H642=TRUE,"Disponible","No disponible")</f>
        <v/>
      </c>
      <c r="T642" s="8">
        <f>IF(AND(ISNUMBER(I642),I642&gt;0),ROUND(F642/I642,2),"Sin volumen")</f>
        <v/>
      </c>
      <c r="U642" s="8">
        <f>IF(F642&lt;5000,"Bajo",IF(F642&lt;15000,"Medio","Alto"))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TRIM(CLEAN(PROPER(D643)))</f>
        <v/>
      </c>
      <c r="Q643">
        <f>PROPER(TRIM(SUBSTITUTE(SUBSTITUTE(SUBSTITUTE(SUBSTITUTE(E643,"TRESEMME","Tresemme"),"HEAD &amp; SHOULDERS","Head &amp; Shoulders"),"ELVIVE","Elvive"),"FRUCTIS","Fructis")))</f>
        <v/>
      </c>
      <c r="R643">
        <f>COUNTIF($D$2:$D$10000,D643)&gt;1</f>
        <v/>
      </c>
      <c r="S643">
        <f>IF(H643=TRUE,"Disponible","No disponible")</f>
        <v/>
      </c>
      <c r="T643">
        <f>IF(AND(ISNUMBER(I643),I643&gt;0),ROUND(F643/I643,2),"Sin volumen")</f>
        <v/>
      </c>
      <c r="U643">
        <f>IF(F643&lt;5000,"Bajo",IF(F643&lt;15000,"Medio","Alto"))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TRIM(CLEAN(PROPER(D644)))</f>
        <v/>
      </c>
      <c r="Q644" s="8">
        <f>PROPER(TRIM(SUBSTITUTE(SUBSTITUTE(SUBSTITUTE(SUBSTITUTE(E644,"TRESEMME","Tresemme"),"HEAD &amp; SHOULDERS","Head &amp; Shoulders"),"ELVIVE","Elvive"),"FRUCTIS","Fructis")))</f>
        <v/>
      </c>
      <c r="R644" s="8">
        <f>COUNTIF($D$2:$D$10000,D644)&gt;1</f>
        <v/>
      </c>
      <c r="S644" s="8">
        <f>IF(H644=TRUE,"Disponible","No disponible")</f>
        <v/>
      </c>
      <c r="T644" s="8">
        <f>IF(AND(ISNUMBER(I644),I644&gt;0),ROUND(F644/I644,2),"Sin volumen")</f>
        <v/>
      </c>
      <c r="U644" s="8">
        <f>IF(F644&lt;5000,"Bajo",IF(F644&lt;15000,"Medio","Alto"))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TRIM(CLEAN(PROPER(D645)))</f>
        <v/>
      </c>
      <c r="Q645">
        <f>PROPER(TRIM(SUBSTITUTE(SUBSTITUTE(SUBSTITUTE(SUBSTITUTE(E645,"TRESEMME","Tresemme"),"HEAD &amp; SHOULDERS","Head &amp; Shoulders"),"ELVIVE","Elvive"),"FRUCTIS","Fructis")))</f>
        <v/>
      </c>
      <c r="R645">
        <f>COUNTIF($D$2:$D$10000,D645)&gt;1</f>
        <v/>
      </c>
      <c r="S645">
        <f>IF(H645=TRUE,"Disponible","No disponible")</f>
        <v/>
      </c>
      <c r="T645">
        <f>IF(AND(ISNUMBER(I645),I645&gt;0),ROUND(F645/I645,2),"Sin volumen")</f>
        <v/>
      </c>
      <c r="U645">
        <f>IF(F645&lt;5000,"Bajo",IF(F645&lt;15000,"Medio","Alto"))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TRIM(CLEAN(PROPER(D646)))</f>
        <v/>
      </c>
      <c r="Q646" s="8">
        <f>PROPER(TRIM(SUBSTITUTE(SUBSTITUTE(SUBSTITUTE(SUBSTITUTE(E646,"TRESEMME","Tresemme"),"HEAD &amp; SHOULDERS","Head &amp; Shoulders"),"ELVIVE","Elvive"),"FRUCTIS","Fructis")))</f>
        <v/>
      </c>
      <c r="R646" s="8">
        <f>COUNTIF($D$2:$D$10000,D646)&gt;1</f>
        <v/>
      </c>
      <c r="S646" s="8">
        <f>IF(H646=TRUE,"Disponible","No disponible")</f>
        <v/>
      </c>
      <c r="T646" s="8">
        <f>IF(AND(ISNUMBER(I646),I646&gt;0),ROUND(F646/I646,2),"Sin volumen")</f>
        <v/>
      </c>
      <c r="U646" s="8">
        <f>IF(F646&lt;5000,"Bajo",IF(F646&lt;15000,"Medio","Alto"))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TRIM(CLEAN(PROPER(D647)))</f>
        <v/>
      </c>
      <c r="Q647">
        <f>PROPER(TRIM(SUBSTITUTE(SUBSTITUTE(SUBSTITUTE(SUBSTITUTE(E647,"TRESEMME","Tresemme"),"HEAD &amp; SHOULDERS","Head &amp; Shoulders"),"ELVIVE","Elvive"),"FRUCTIS","Fructis")))</f>
        <v/>
      </c>
      <c r="R647">
        <f>COUNTIF($D$2:$D$10000,D647)&gt;1</f>
        <v/>
      </c>
      <c r="S647">
        <f>IF(H647=TRUE,"Disponible","No disponible")</f>
        <v/>
      </c>
      <c r="T647">
        <f>IF(AND(ISNUMBER(I647),I647&gt;0),ROUND(F647/I647,2),"Sin volumen")</f>
        <v/>
      </c>
      <c r="U647">
        <f>IF(F647&lt;5000,"Bajo",IF(F647&lt;15000,"Medio","Alto"))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TRIM(CLEAN(PROPER(D648)))</f>
        <v/>
      </c>
      <c r="Q648" s="8">
        <f>PROPER(TRIM(SUBSTITUTE(SUBSTITUTE(SUBSTITUTE(SUBSTITUTE(E648,"TRESEMME","Tresemme"),"HEAD &amp; SHOULDERS","Head &amp; Shoulders"),"ELVIVE","Elvive"),"FRUCTIS","Fructis")))</f>
        <v/>
      </c>
      <c r="R648" s="8">
        <f>COUNTIF($D$2:$D$10000,D648)&gt;1</f>
        <v/>
      </c>
      <c r="S648" s="8">
        <f>IF(H648=TRUE,"Disponible","No disponible")</f>
        <v/>
      </c>
      <c r="T648" s="8">
        <f>IF(AND(ISNUMBER(I648),I648&gt;0),ROUND(F648/I648,2),"Sin volumen")</f>
        <v/>
      </c>
      <c r="U648" s="8">
        <f>IF(F648&lt;5000,"Bajo",IF(F648&lt;15000,"Medio","Alto"))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TRIM(CLEAN(PROPER(D649)))</f>
        <v/>
      </c>
      <c r="Q649">
        <f>PROPER(TRIM(SUBSTITUTE(SUBSTITUTE(SUBSTITUTE(SUBSTITUTE(E649,"TRESEMME","Tresemme"),"HEAD &amp; SHOULDERS","Head &amp; Shoulders"),"ELVIVE","Elvive"),"FRUCTIS","Fructis")))</f>
        <v/>
      </c>
      <c r="R649">
        <f>COUNTIF($D$2:$D$10000,D649)&gt;1</f>
        <v/>
      </c>
      <c r="S649">
        <f>IF(H649=TRUE,"Disponible","No disponible")</f>
        <v/>
      </c>
      <c r="T649">
        <f>IF(AND(ISNUMBER(I649),I649&gt;0),ROUND(F649/I649,2),"Sin volumen")</f>
        <v/>
      </c>
      <c r="U649">
        <f>IF(F649&lt;5000,"Bajo",IF(F649&lt;15000,"Medio","Alto"))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TRIM(CLEAN(PROPER(D650)))</f>
        <v/>
      </c>
      <c r="Q650" s="8">
        <f>PROPER(TRIM(SUBSTITUTE(SUBSTITUTE(SUBSTITUTE(SUBSTITUTE(E650,"TRESEMME","Tresemme"),"HEAD &amp; SHOULDERS","Head &amp; Shoulders"),"ELVIVE","Elvive"),"FRUCTIS","Fructis")))</f>
        <v/>
      </c>
      <c r="R650" s="8">
        <f>COUNTIF($D$2:$D$10000,D650)&gt;1</f>
        <v/>
      </c>
      <c r="S650" s="8">
        <f>IF(H650=TRUE,"Disponible","No disponible")</f>
        <v/>
      </c>
      <c r="T650" s="8">
        <f>IF(AND(ISNUMBER(I650),I650&gt;0),ROUND(F650/I650,2),"Sin volumen")</f>
        <v/>
      </c>
      <c r="U650" s="8">
        <f>IF(F650&lt;5000,"Bajo",IF(F650&lt;15000,"Medio","Alto"))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TRIM(CLEAN(PROPER(D651)))</f>
        <v/>
      </c>
      <c r="Q651">
        <f>PROPER(TRIM(SUBSTITUTE(SUBSTITUTE(SUBSTITUTE(SUBSTITUTE(E651,"TRESEMME","Tresemme"),"HEAD &amp; SHOULDERS","Head &amp; Shoulders"),"ELVIVE","Elvive"),"FRUCTIS","Fructis")))</f>
        <v/>
      </c>
      <c r="R651">
        <f>COUNTIF($D$2:$D$10000,D651)&gt;1</f>
        <v/>
      </c>
      <c r="S651">
        <f>IF(H651=TRUE,"Disponible","No disponible")</f>
        <v/>
      </c>
      <c r="T651">
        <f>IF(AND(ISNUMBER(I651),I651&gt;0),ROUND(F651/I651,2),"Sin volumen")</f>
        <v/>
      </c>
      <c r="U651">
        <f>IF(F651&lt;5000,"Bajo",IF(F651&lt;15000,"Medio","Alto"))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TRIM(CLEAN(PROPER(D652)))</f>
        <v/>
      </c>
      <c r="Q652" s="8">
        <f>PROPER(TRIM(SUBSTITUTE(SUBSTITUTE(SUBSTITUTE(SUBSTITUTE(E652,"TRESEMME","Tresemme"),"HEAD &amp; SHOULDERS","Head &amp; Shoulders"),"ELVIVE","Elvive"),"FRUCTIS","Fructis")))</f>
        <v/>
      </c>
      <c r="R652" s="8">
        <f>COUNTIF($D$2:$D$10000,D652)&gt;1</f>
        <v/>
      </c>
      <c r="S652" s="8">
        <f>IF(H652=TRUE,"Disponible","No disponible")</f>
        <v/>
      </c>
      <c r="T652" s="8">
        <f>IF(AND(ISNUMBER(I652),I652&gt;0),ROUND(F652/I652,2),"Sin volumen")</f>
        <v/>
      </c>
      <c r="U652" s="8">
        <f>IF(F652&lt;5000,"Bajo",IF(F652&lt;15000,"Medio","Alto"))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TRIM(CLEAN(PROPER(D653)))</f>
        <v/>
      </c>
      <c r="Q653">
        <f>PROPER(TRIM(SUBSTITUTE(SUBSTITUTE(SUBSTITUTE(SUBSTITUTE(E653,"TRESEMME","Tresemme"),"HEAD &amp; SHOULDERS","Head &amp; Shoulders"),"ELVIVE","Elvive"),"FRUCTIS","Fructis")))</f>
        <v/>
      </c>
      <c r="R653">
        <f>COUNTIF($D$2:$D$10000,D653)&gt;1</f>
        <v/>
      </c>
      <c r="S653">
        <f>IF(H653=TRUE,"Disponible","No disponible")</f>
        <v/>
      </c>
      <c r="T653">
        <f>IF(AND(ISNUMBER(I653),I653&gt;0),ROUND(F653/I653,2),"Sin volumen")</f>
        <v/>
      </c>
      <c r="U653">
        <f>IF(F653&lt;5000,"Bajo",IF(F653&lt;15000,"Medio","Alto"))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TRIM(CLEAN(PROPER(D654)))</f>
        <v/>
      </c>
      <c r="Q654" s="8">
        <f>PROPER(TRIM(SUBSTITUTE(SUBSTITUTE(SUBSTITUTE(SUBSTITUTE(E654,"TRESEMME","Tresemme"),"HEAD &amp; SHOULDERS","Head &amp; Shoulders"),"ELVIVE","Elvive"),"FRUCTIS","Fructis")))</f>
        <v/>
      </c>
      <c r="R654" s="8">
        <f>COUNTIF($D$2:$D$10000,D654)&gt;1</f>
        <v/>
      </c>
      <c r="S654" s="8">
        <f>IF(H654=TRUE,"Disponible","No disponible")</f>
        <v/>
      </c>
      <c r="T654" s="8">
        <f>IF(AND(ISNUMBER(I654),I654&gt;0),ROUND(F654/I654,2),"Sin volumen")</f>
        <v/>
      </c>
      <c r="U654" s="8">
        <f>IF(F654&lt;5000,"Bajo",IF(F654&lt;15000,"Medio","Alto"))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TRIM(CLEAN(PROPER(D655)))</f>
        <v/>
      </c>
      <c r="Q655">
        <f>PROPER(TRIM(SUBSTITUTE(SUBSTITUTE(SUBSTITUTE(SUBSTITUTE(E655,"TRESEMME","Tresemme"),"HEAD &amp; SHOULDERS","Head &amp; Shoulders"),"ELVIVE","Elvive"),"FRUCTIS","Fructis")))</f>
        <v/>
      </c>
      <c r="R655">
        <f>COUNTIF($D$2:$D$10000,D655)&gt;1</f>
        <v/>
      </c>
      <c r="S655">
        <f>IF(H655=TRUE,"Disponible","No disponible")</f>
        <v/>
      </c>
      <c r="T655">
        <f>IF(AND(ISNUMBER(I655),I655&gt;0),ROUND(F655/I655,2),"Sin volumen")</f>
        <v/>
      </c>
      <c r="U655">
        <f>IF(F655&lt;5000,"Bajo",IF(F655&lt;15000,"Medio","Alto"))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TRIM(CLEAN(PROPER(D656)))</f>
        <v/>
      </c>
      <c r="Q656" s="8">
        <f>PROPER(TRIM(SUBSTITUTE(SUBSTITUTE(SUBSTITUTE(SUBSTITUTE(E656,"TRESEMME","Tresemme"),"HEAD &amp; SHOULDERS","Head &amp; Shoulders"),"ELVIVE","Elvive"),"FRUCTIS","Fructis")))</f>
        <v/>
      </c>
      <c r="R656" s="8">
        <f>COUNTIF($D$2:$D$10000,D656)&gt;1</f>
        <v/>
      </c>
      <c r="S656" s="8">
        <f>IF(H656=TRUE,"Disponible","No disponible")</f>
        <v/>
      </c>
      <c r="T656" s="8">
        <f>IF(AND(ISNUMBER(I656),I656&gt;0),ROUND(F656/I656,2),"Sin volumen")</f>
        <v/>
      </c>
      <c r="U656" s="8">
        <f>IF(F656&lt;5000,"Bajo",IF(F656&lt;15000,"Medio","Alto"))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TRIM(CLEAN(PROPER(D657)))</f>
        <v/>
      </c>
      <c r="Q657">
        <f>PROPER(TRIM(SUBSTITUTE(SUBSTITUTE(SUBSTITUTE(SUBSTITUTE(E657,"TRESEMME","Tresemme"),"HEAD &amp; SHOULDERS","Head &amp; Shoulders"),"ELVIVE","Elvive"),"FRUCTIS","Fructis")))</f>
        <v/>
      </c>
      <c r="R657">
        <f>COUNTIF($D$2:$D$10000,D657)&gt;1</f>
        <v/>
      </c>
      <c r="S657">
        <f>IF(H657=TRUE,"Disponible","No disponible")</f>
        <v/>
      </c>
      <c r="T657">
        <f>IF(AND(ISNUMBER(I657),I657&gt;0),ROUND(F657/I657,2),"Sin volumen")</f>
        <v/>
      </c>
      <c r="U657">
        <f>IF(F657&lt;5000,"Bajo",IF(F657&lt;15000,"Medio","Alto"))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TRIM(CLEAN(PROPER(D658)))</f>
        <v/>
      </c>
      <c r="Q658" s="8">
        <f>PROPER(TRIM(SUBSTITUTE(SUBSTITUTE(SUBSTITUTE(SUBSTITUTE(E658,"TRESEMME","Tresemme"),"HEAD &amp; SHOULDERS","Head &amp; Shoulders"),"ELVIVE","Elvive"),"FRUCTIS","Fructis")))</f>
        <v/>
      </c>
      <c r="R658" s="8">
        <f>COUNTIF($D$2:$D$10000,D658)&gt;1</f>
        <v/>
      </c>
      <c r="S658" s="8">
        <f>IF(H658=TRUE,"Disponible","No disponible")</f>
        <v/>
      </c>
      <c r="T658" s="8">
        <f>IF(AND(ISNUMBER(I658),I658&gt;0),ROUND(F658/I658,2),"Sin volumen")</f>
        <v/>
      </c>
      <c r="U658" s="8">
        <f>IF(F658&lt;5000,"Bajo",IF(F658&lt;15000,"Medio","Alto"))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TRIM(CLEAN(PROPER(D659)))</f>
        <v/>
      </c>
      <c r="Q659">
        <f>PROPER(TRIM(SUBSTITUTE(SUBSTITUTE(SUBSTITUTE(SUBSTITUTE(E659,"TRESEMME","Tresemme"),"HEAD &amp; SHOULDERS","Head &amp; Shoulders"),"ELVIVE","Elvive"),"FRUCTIS","Fructis")))</f>
        <v/>
      </c>
      <c r="R659">
        <f>COUNTIF($D$2:$D$10000,D659)&gt;1</f>
        <v/>
      </c>
      <c r="S659">
        <f>IF(H659=TRUE,"Disponible","No disponible")</f>
        <v/>
      </c>
      <c r="T659">
        <f>IF(AND(ISNUMBER(I659),I659&gt;0),ROUND(F659/I659,2),"Sin volumen")</f>
        <v/>
      </c>
      <c r="U659">
        <f>IF(F659&lt;5000,"Bajo",IF(F659&lt;15000,"Medio","Alto"))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TRIM(CLEAN(PROPER(D660)))</f>
        <v/>
      </c>
      <c r="Q660" s="8">
        <f>PROPER(TRIM(SUBSTITUTE(SUBSTITUTE(SUBSTITUTE(SUBSTITUTE(E660,"TRESEMME","Tresemme"),"HEAD &amp; SHOULDERS","Head &amp; Shoulders"),"ELVIVE","Elvive"),"FRUCTIS","Fructis")))</f>
        <v/>
      </c>
      <c r="R660" s="8">
        <f>COUNTIF($D$2:$D$10000,D660)&gt;1</f>
        <v/>
      </c>
      <c r="S660" s="8">
        <f>IF(H660=TRUE,"Disponible","No disponible")</f>
        <v/>
      </c>
      <c r="T660" s="8">
        <f>IF(AND(ISNUMBER(I660),I660&gt;0),ROUND(F660/I660,2),"Sin volumen")</f>
        <v/>
      </c>
      <c r="U660" s="8">
        <f>IF(F660&lt;5000,"Bajo",IF(F660&lt;15000,"Medio","Alto"))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TRIM(CLEAN(PROPER(D661)))</f>
        <v/>
      </c>
      <c r="Q661">
        <f>PROPER(TRIM(SUBSTITUTE(SUBSTITUTE(SUBSTITUTE(SUBSTITUTE(E661,"TRESEMME","Tresemme"),"HEAD &amp; SHOULDERS","Head &amp; Shoulders"),"ELVIVE","Elvive"),"FRUCTIS","Fructis")))</f>
        <v/>
      </c>
      <c r="R661">
        <f>COUNTIF($D$2:$D$10000,D661)&gt;1</f>
        <v/>
      </c>
      <c r="S661">
        <f>IF(H661=TRUE,"Disponible","No disponible")</f>
        <v/>
      </c>
      <c r="T661">
        <f>IF(AND(ISNUMBER(I661),I661&gt;0),ROUND(F661/I661,2),"Sin volumen")</f>
        <v/>
      </c>
      <c r="U661">
        <f>IF(F661&lt;5000,"Bajo",IF(F661&lt;15000,"Medio","Alto"))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TRIM(CLEAN(PROPER(D662)))</f>
        <v/>
      </c>
      <c r="Q662" s="8">
        <f>PROPER(TRIM(SUBSTITUTE(SUBSTITUTE(SUBSTITUTE(SUBSTITUTE(E662,"TRESEMME","Tresemme"),"HEAD &amp; SHOULDERS","Head &amp; Shoulders"),"ELVIVE","Elvive"),"FRUCTIS","Fructis")))</f>
        <v/>
      </c>
      <c r="R662" s="8">
        <f>COUNTIF($D$2:$D$10000,D662)&gt;1</f>
        <v/>
      </c>
      <c r="S662" s="8">
        <f>IF(H662=TRUE,"Disponible","No disponible")</f>
        <v/>
      </c>
      <c r="T662" s="8">
        <f>IF(AND(ISNUMBER(I662),I662&gt;0),ROUND(F662/I662,2),"Sin volumen")</f>
        <v/>
      </c>
      <c r="U662" s="8">
        <f>IF(F662&lt;5000,"Bajo",IF(F662&lt;15000,"Medio","Alto"))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TRIM(CLEAN(PROPER(D663)))</f>
        <v/>
      </c>
      <c r="Q663">
        <f>PROPER(TRIM(SUBSTITUTE(SUBSTITUTE(SUBSTITUTE(SUBSTITUTE(E663,"TRESEMME","Tresemme"),"HEAD &amp; SHOULDERS","Head &amp; Shoulders"),"ELVIVE","Elvive"),"FRUCTIS","Fructis")))</f>
        <v/>
      </c>
      <c r="R663">
        <f>COUNTIF($D$2:$D$10000,D663)&gt;1</f>
        <v/>
      </c>
      <c r="S663">
        <f>IF(H663=TRUE,"Disponible","No disponible")</f>
        <v/>
      </c>
      <c r="T663">
        <f>IF(AND(ISNUMBER(I663),I663&gt;0),ROUND(F663/I663,2),"Sin volumen")</f>
        <v/>
      </c>
      <c r="U663">
        <f>IF(F663&lt;5000,"Bajo",IF(F663&lt;15000,"Medio","Alto"))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TRIM(CLEAN(PROPER(D664)))</f>
        <v/>
      </c>
      <c r="Q664" s="8">
        <f>PROPER(TRIM(SUBSTITUTE(SUBSTITUTE(SUBSTITUTE(SUBSTITUTE(E664,"TRESEMME","Tresemme"),"HEAD &amp; SHOULDERS","Head &amp; Shoulders"),"ELVIVE","Elvive"),"FRUCTIS","Fructis")))</f>
        <v/>
      </c>
      <c r="R664" s="8">
        <f>COUNTIF($D$2:$D$10000,D664)&gt;1</f>
        <v/>
      </c>
      <c r="S664" s="8">
        <f>IF(H664=TRUE,"Disponible","No disponible")</f>
        <v/>
      </c>
      <c r="T664" s="8">
        <f>IF(AND(ISNUMBER(I664),I664&gt;0),ROUND(F664/I664,2),"Sin volumen")</f>
        <v/>
      </c>
      <c r="U664" s="8">
        <f>IF(F664&lt;5000,"Bajo",IF(F664&lt;15000,"Medio","Alto"))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TRIM(CLEAN(PROPER(D665)))</f>
        <v/>
      </c>
      <c r="Q665">
        <f>PROPER(TRIM(SUBSTITUTE(SUBSTITUTE(SUBSTITUTE(SUBSTITUTE(E665,"TRESEMME","Tresemme"),"HEAD &amp; SHOULDERS","Head &amp; Shoulders"),"ELVIVE","Elvive"),"FRUCTIS","Fructis")))</f>
        <v/>
      </c>
      <c r="R665">
        <f>COUNTIF($D$2:$D$10000,D665)&gt;1</f>
        <v/>
      </c>
      <c r="S665">
        <f>IF(H665=TRUE,"Disponible","No disponible")</f>
        <v/>
      </c>
      <c r="T665">
        <f>IF(AND(ISNUMBER(I665),I665&gt;0),ROUND(F665/I665,2),"Sin volumen")</f>
        <v/>
      </c>
      <c r="U665">
        <f>IF(F665&lt;5000,"Bajo",IF(F665&lt;15000,"Medio","Alto"))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TRIM(CLEAN(PROPER(D666)))</f>
        <v/>
      </c>
      <c r="Q666" s="8">
        <f>PROPER(TRIM(SUBSTITUTE(SUBSTITUTE(SUBSTITUTE(SUBSTITUTE(E666,"TRESEMME","Tresemme"),"HEAD &amp; SHOULDERS","Head &amp; Shoulders"),"ELVIVE","Elvive"),"FRUCTIS","Fructis")))</f>
        <v/>
      </c>
      <c r="R666" s="8">
        <f>COUNTIF($D$2:$D$10000,D666)&gt;1</f>
        <v/>
      </c>
      <c r="S666" s="8">
        <f>IF(H666=TRUE,"Disponible","No disponible")</f>
        <v/>
      </c>
      <c r="T666" s="8">
        <f>IF(AND(ISNUMBER(I666),I666&gt;0),ROUND(F666/I666,2),"Sin volumen")</f>
        <v/>
      </c>
      <c r="U666" s="8">
        <f>IF(F666&lt;5000,"Bajo",IF(F666&lt;15000,"Medio","Alto"))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TRIM(CLEAN(PROPER(D667)))</f>
        <v/>
      </c>
      <c r="Q667">
        <f>PROPER(TRIM(SUBSTITUTE(SUBSTITUTE(SUBSTITUTE(SUBSTITUTE(E667,"TRESEMME","Tresemme"),"HEAD &amp; SHOULDERS","Head &amp; Shoulders"),"ELVIVE","Elvive"),"FRUCTIS","Fructis")))</f>
        <v/>
      </c>
      <c r="R667">
        <f>COUNTIF($D$2:$D$10000,D667)&gt;1</f>
        <v/>
      </c>
      <c r="S667">
        <f>IF(H667=TRUE,"Disponible","No disponible")</f>
        <v/>
      </c>
      <c r="T667">
        <f>IF(AND(ISNUMBER(I667),I667&gt;0),ROUND(F667/I667,2),"Sin volumen")</f>
        <v/>
      </c>
      <c r="U667">
        <f>IF(F667&lt;5000,"Bajo",IF(F667&lt;15000,"Medio","Alto"))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TRIM(CLEAN(PROPER(D668)))</f>
        <v/>
      </c>
      <c r="Q668" s="8">
        <f>PROPER(TRIM(SUBSTITUTE(SUBSTITUTE(SUBSTITUTE(SUBSTITUTE(E668,"TRESEMME","Tresemme"),"HEAD &amp; SHOULDERS","Head &amp; Shoulders"),"ELVIVE","Elvive"),"FRUCTIS","Fructis")))</f>
        <v/>
      </c>
      <c r="R668" s="8">
        <f>COUNTIF($D$2:$D$10000,D668)&gt;1</f>
        <v/>
      </c>
      <c r="S668" s="8">
        <f>IF(H668=TRUE,"Disponible","No disponible")</f>
        <v/>
      </c>
      <c r="T668" s="8">
        <f>IF(AND(ISNUMBER(I668),I668&gt;0),ROUND(F668/I668,2),"Sin volumen")</f>
        <v/>
      </c>
      <c r="U668" s="8">
        <f>IF(F668&lt;5000,"Bajo",IF(F668&lt;15000,"Medio","Alto"))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TRIM(CLEAN(PROPER(D669)))</f>
        <v/>
      </c>
      <c r="Q669">
        <f>PROPER(TRIM(SUBSTITUTE(SUBSTITUTE(SUBSTITUTE(SUBSTITUTE(E669,"TRESEMME","Tresemme"),"HEAD &amp; SHOULDERS","Head &amp; Shoulders"),"ELVIVE","Elvive"),"FRUCTIS","Fructis")))</f>
        <v/>
      </c>
      <c r="R669">
        <f>COUNTIF($D$2:$D$10000,D669)&gt;1</f>
        <v/>
      </c>
      <c r="S669">
        <f>IF(H669=TRUE,"Disponible","No disponible")</f>
        <v/>
      </c>
      <c r="T669">
        <f>IF(AND(ISNUMBER(I669),I669&gt;0),ROUND(F669/I669,2),"Sin volumen")</f>
        <v/>
      </c>
      <c r="U669">
        <f>IF(F669&lt;5000,"Bajo",IF(F669&lt;15000,"Medio","Alto"))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TRIM(CLEAN(PROPER(D670)))</f>
        <v/>
      </c>
      <c r="Q670" s="8">
        <f>PROPER(TRIM(SUBSTITUTE(SUBSTITUTE(SUBSTITUTE(SUBSTITUTE(E670,"TRESEMME","Tresemme"),"HEAD &amp; SHOULDERS","Head &amp; Shoulders"),"ELVIVE","Elvive"),"FRUCTIS","Fructis")))</f>
        <v/>
      </c>
      <c r="R670" s="8">
        <f>COUNTIF($D$2:$D$10000,D670)&gt;1</f>
        <v/>
      </c>
      <c r="S670" s="8">
        <f>IF(H670=TRUE,"Disponible","No disponible")</f>
        <v/>
      </c>
      <c r="T670" s="8">
        <f>IF(AND(ISNUMBER(I670),I670&gt;0),ROUND(F670/I670,2),"Sin volumen")</f>
        <v/>
      </c>
      <c r="U670" s="8">
        <f>IF(F670&lt;5000,"Bajo",IF(F670&lt;15000,"Medio","Alto"))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TRIM(CLEAN(PROPER(D671)))</f>
        <v/>
      </c>
      <c r="Q671">
        <f>PROPER(TRIM(SUBSTITUTE(SUBSTITUTE(SUBSTITUTE(SUBSTITUTE(E671,"TRESEMME","Tresemme"),"HEAD &amp; SHOULDERS","Head &amp; Shoulders"),"ELVIVE","Elvive"),"FRUCTIS","Fructis")))</f>
        <v/>
      </c>
      <c r="R671">
        <f>COUNTIF($D$2:$D$10000,D671)&gt;1</f>
        <v/>
      </c>
      <c r="S671">
        <f>IF(H671=TRUE,"Disponible","No disponible")</f>
        <v/>
      </c>
      <c r="T671">
        <f>IF(AND(ISNUMBER(I671),I671&gt;0),ROUND(F671/I671,2),"Sin volumen")</f>
        <v/>
      </c>
      <c r="U671">
        <f>IF(F671&lt;5000,"Bajo",IF(F671&lt;15000,"Medio","Alto"))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TRIM(CLEAN(PROPER(D672)))</f>
        <v/>
      </c>
      <c r="Q672" s="8">
        <f>PROPER(TRIM(SUBSTITUTE(SUBSTITUTE(SUBSTITUTE(SUBSTITUTE(E672,"TRESEMME","Tresemme"),"HEAD &amp; SHOULDERS","Head &amp; Shoulders"),"ELVIVE","Elvive"),"FRUCTIS","Fructis")))</f>
        <v/>
      </c>
      <c r="R672" s="8">
        <f>COUNTIF($D$2:$D$10000,D672)&gt;1</f>
        <v/>
      </c>
      <c r="S672" s="8">
        <f>IF(H672=TRUE,"Disponible","No disponible")</f>
        <v/>
      </c>
      <c r="T672" s="8">
        <f>IF(AND(ISNUMBER(I672),I672&gt;0),ROUND(F672/I672,2),"Sin volumen")</f>
        <v/>
      </c>
      <c r="U672" s="8">
        <f>IF(F672&lt;5000,"Bajo",IF(F672&lt;15000,"Medio","Alto"))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TRIM(CLEAN(PROPER(D673)))</f>
        <v/>
      </c>
      <c r="Q673">
        <f>PROPER(TRIM(SUBSTITUTE(SUBSTITUTE(SUBSTITUTE(SUBSTITUTE(E673,"TRESEMME","Tresemme"),"HEAD &amp; SHOULDERS","Head &amp; Shoulders"),"ELVIVE","Elvive"),"FRUCTIS","Fructis")))</f>
        <v/>
      </c>
      <c r="R673">
        <f>COUNTIF($D$2:$D$10000,D673)&gt;1</f>
        <v/>
      </c>
      <c r="S673">
        <f>IF(H673=TRUE,"Disponible","No disponible")</f>
        <v/>
      </c>
      <c r="T673">
        <f>IF(AND(ISNUMBER(I673),I673&gt;0),ROUND(F673/I673,2),"Sin volumen")</f>
        <v/>
      </c>
      <c r="U673">
        <f>IF(F673&lt;5000,"Bajo",IF(F673&lt;15000,"Medio","Alto"))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TRIM(CLEAN(PROPER(D674)))</f>
        <v/>
      </c>
      <c r="Q674" s="8">
        <f>PROPER(TRIM(SUBSTITUTE(SUBSTITUTE(SUBSTITUTE(SUBSTITUTE(E674,"TRESEMME","Tresemme"),"HEAD &amp; SHOULDERS","Head &amp; Shoulders"),"ELVIVE","Elvive"),"FRUCTIS","Fructis")))</f>
        <v/>
      </c>
      <c r="R674" s="8">
        <f>COUNTIF($D$2:$D$10000,D674)&gt;1</f>
        <v/>
      </c>
      <c r="S674" s="8">
        <f>IF(H674=TRUE,"Disponible","No disponible")</f>
        <v/>
      </c>
      <c r="T674" s="8">
        <f>IF(AND(ISNUMBER(I674),I674&gt;0),ROUND(F674/I674,2),"Sin volumen")</f>
        <v/>
      </c>
      <c r="U674" s="8">
        <f>IF(F674&lt;5000,"Bajo",IF(F674&lt;15000,"Medio","Alto"))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TRIM(CLEAN(PROPER(D675)))</f>
        <v/>
      </c>
      <c r="Q675">
        <f>PROPER(TRIM(SUBSTITUTE(SUBSTITUTE(SUBSTITUTE(SUBSTITUTE(E675,"TRESEMME","Tresemme"),"HEAD &amp; SHOULDERS","Head &amp; Shoulders"),"ELVIVE","Elvive"),"FRUCTIS","Fructis")))</f>
        <v/>
      </c>
      <c r="R675">
        <f>COUNTIF($D$2:$D$10000,D675)&gt;1</f>
        <v/>
      </c>
      <c r="S675">
        <f>IF(H675=TRUE,"Disponible","No disponible")</f>
        <v/>
      </c>
      <c r="T675">
        <f>IF(AND(ISNUMBER(I675),I675&gt;0),ROUND(F675/I675,2),"Sin volumen")</f>
        <v/>
      </c>
      <c r="U675">
        <f>IF(F675&lt;5000,"Bajo",IF(F675&lt;15000,"Medio","Alto"))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TRIM(CLEAN(PROPER(D676)))</f>
        <v/>
      </c>
      <c r="Q676" s="8">
        <f>PROPER(TRIM(SUBSTITUTE(SUBSTITUTE(SUBSTITUTE(SUBSTITUTE(E676,"TRESEMME","Tresemme"),"HEAD &amp; SHOULDERS","Head &amp; Shoulders"),"ELVIVE","Elvive"),"FRUCTIS","Fructis")))</f>
        <v/>
      </c>
      <c r="R676" s="8">
        <f>COUNTIF($D$2:$D$10000,D676)&gt;1</f>
        <v/>
      </c>
      <c r="S676" s="8">
        <f>IF(H676=TRUE,"Disponible","No disponible")</f>
        <v/>
      </c>
      <c r="T676" s="8">
        <f>IF(AND(ISNUMBER(I676),I676&gt;0),ROUND(F676/I676,2),"Sin volumen")</f>
        <v/>
      </c>
      <c r="U676" s="8">
        <f>IF(F676&lt;5000,"Bajo",IF(F676&lt;15000,"Medio","Alto"))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TRIM(CLEAN(PROPER(D677)))</f>
        <v/>
      </c>
      <c r="Q677">
        <f>PROPER(TRIM(SUBSTITUTE(SUBSTITUTE(SUBSTITUTE(SUBSTITUTE(E677,"TRESEMME","Tresemme"),"HEAD &amp; SHOULDERS","Head &amp; Shoulders"),"ELVIVE","Elvive"),"FRUCTIS","Fructis")))</f>
        <v/>
      </c>
      <c r="R677">
        <f>COUNTIF($D$2:$D$10000,D677)&gt;1</f>
        <v/>
      </c>
      <c r="S677">
        <f>IF(H677=TRUE,"Disponible","No disponible")</f>
        <v/>
      </c>
      <c r="T677">
        <f>IF(AND(ISNUMBER(I677),I677&gt;0),ROUND(F677/I677,2),"Sin volumen")</f>
        <v/>
      </c>
      <c r="U677">
        <f>IF(F677&lt;5000,"Bajo",IF(F677&lt;15000,"Medio","Alto"))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TRIM(CLEAN(PROPER(D678)))</f>
        <v/>
      </c>
      <c r="Q678" s="8">
        <f>PROPER(TRIM(SUBSTITUTE(SUBSTITUTE(SUBSTITUTE(SUBSTITUTE(E678,"TRESEMME","Tresemme"),"HEAD &amp; SHOULDERS","Head &amp; Shoulders"),"ELVIVE","Elvive"),"FRUCTIS","Fructis")))</f>
        <v/>
      </c>
      <c r="R678" s="8">
        <f>COUNTIF($D$2:$D$10000,D678)&gt;1</f>
        <v/>
      </c>
      <c r="S678" s="8">
        <f>IF(H678=TRUE,"Disponible","No disponible")</f>
        <v/>
      </c>
      <c r="T678" s="8">
        <f>IF(AND(ISNUMBER(I678),I678&gt;0),ROUND(F678/I678,2),"Sin volumen")</f>
        <v/>
      </c>
      <c r="U678" s="8">
        <f>IF(F678&lt;5000,"Bajo",IF(F678&lt;15000,"Medio","Alto"))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TRIM(CLEAN(PROPER(D679)))</f>
        <v/>
      </c>
      <c r="Q679">
        <f>PROPER(TRIM(SUBSTITUTE(SUBSTITUTE(SUBSTITUTE(SUBSTITUTE(E679,"TRESEMME","Tresemme"),"HEAD &amp; SHOULDERS","Head &amp; Shoulders"),"ELVIVE","Elvive"),"FRUCTIS","Fructis")))</f>
        <v/>
      </c>
      <c r="R679">
        <f>COUNTIF($D$2:$D$10000,D679)&gt;1</f>
        <v/>
      </c>
      <c r="S679">
        <f>IF(H679=TRUE,"Disponible","No disponible")</f>
        <v/>
      </c>
      <c r="T679">
        <f>IF(AND(ISNUMBER(I679),I679&gt;0),ROUND(F679/I679,2),"Sin volumen")</f>
        <v/>
      </c>
      <c r="U679">
        <f>IF(F679&lt;5000,"Bajo",IF(F679&lt;15000,"Medio","Alto"))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TRIM(CLEAN(PROPER(D680)))</f>
        <v/>
      </c>
      <c r="Q680" s="8">
        <f>PROPER(TRIM(SUBSTITUTE(SUBSTITUTE(SUBSTITUTE(SUBSTITUTE(E680,"TRESEMME","Tresemme"),"HEAD &amp; SHOULDERS","Head &amp; Shoulders"),"ELVIVE","Elvive"),"FRUCTIS","Fructis")))</f>
        <v/>
      </c>
      <c r="R680" s="8">
        <f>COUNTIF($D$2:$D$10000,D680)&gt;1</f>
        <v/>
      </c>
      <c r="S680" s="8">
        <f>IF(H680=TRUE,"Disponible","No disponible")</f>
        <v/>
      </c>
      <c r="T680" s="8">
        <f>IF(AND(ISNUMBER(I680),I680&gt;0),ROUND(F680/I680,2),"Sin volumen")</f>
        <v/>
      </c>
      <c r="U680" s="8">
        <f>IF(F680&lt;5000,"Bajo",IF(F680&lt;15000,"Medio","Alto"))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TRIM(CLEAN(PROPER(D681)))</f>
        <v/>
      </c>
      <c r="Q681">
        <f>PROPER(TRIM(SUBSTITUTE(SUBSTITUTE(SUBSTITUTE(SUBSTITUTE(E681,"TRESEMME","Tresemme"),"HEAD &amp; SHOULDERS","Head &amp; Shoulders"),"ELVIVE","Elvive"),"FRUCTIS","Fructis")))</f>
        <v/>
      </c>
      <c r="R681">
        <f>COUNTIF($D$2:$D$10000,D681)&gt;1</f>
        <v/>
      </c>
      <c r="S681">
        <f>IF(H681=TRUE,"Disponible","No disponible")</f>
        <v/>
      </c>
      <c r="T681">
        <f>IF(AND(ISNUMBER(I681),I681&gt;0),ROUND(F681/I681,2),"Sin volumen")</f>
        <v/>
      </c>
      <c r="U681">
        <f>IF(F681&lt;5000,"Bajo",IF(F681&lt;15000,"Medio","Alto"))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TRIM(CLEAN(PROPER(D682)))</f>
        <v/>
      </c>
      <c r="Q682" s="8">
        <f>PROPER(TRIM(SUBSTITUTE(SUBSTITUTE(SUBSTITUTE(SUBSTITUTE(E682,"TRESEMME","Tresemme"),"HEAD &amp; SHOULDERS","Head &amp; Shoulders"),"ELVIVE","Elvive"),"FRUCTIS","Fructis")))</f>
        <v/>
      </c>
      <c r="R682" s="8">
        <f>COUNTIF($D$2:$D$10000,D682)&gt;1</f>
        <v/>
      </c>
      <c r="S682" s="8">
        <f>IF(H682=TRUE,"Disponible","No disponible")</f>
        <v/>
      </c>
      <c r="T682" s="8">
        <f>IF(AND(ISNUMBER(I682),I682&gt;0),ROUND(F682/I682,2),"Sin volumen")</f>
        <v/>
      </c>
      <c r="U682" s="8">
        <f>IF(F682&lt;5000,"Bajo",IF(F682&lt;15000,"Medio","Alto"))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TRIM(CLEAN(PROPER(D683)))</f>
        <v/>
      </c>
      <c r="Q683">
        <f>PROPER(TRIM(SUBSTITUTE(SUBSTITUTE(SUBSTITUTE(SUBSTITUTE(E683,"TRESEMME","Tresemme"),"HEAD &amp; SHOULDERS","Head &amp; Shoulders"),"ELVIVE","Elvive"),"FRUCTIS","Fructis")))</f>
        <v/>
      </c>
      <c r="R683">
        <f>COUNTIF($D$2:$D$10000,D683)&gt;1</f>
        <v/>
      </c>
      <c r="S683">
        <f>IF(H683=TRUE,"Disponible","No disponible")</f>
        <v/>
      </c>
      <c r="T683">
        <f>IF(AND(ISNUMBER(I683),I683&gt;0),ROUND(F683/I683,2),"Sin volumen")</f>
        <v/>
      </c>
      <c r="U683">
        <f>IF(F683&lt;5000,"Bajo",IF(F683&lt;15000,"Medio","Alto"))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TRIM(CLEAN(PROPER(D684)))</f>
        <v/>
      </c>
      <c r="Q684" s="8">
        <f>PROPER(TRIM(SUBSTITUTE(SUBSTITUTE(SUBSTITUTE(SUBSTITUTE(E684,"TRESEMME","Tresemme"),"HEAD &amp; SHOULDERS","Head &amp; Shoulders"),"ELVIVE","Elvive"),"FRUCTIS","Fructis")))</f>
        <v/>
      </c>
      <c r="R684" s="8">
        <f>COUNTIF($D$2:$D$10000,D684)&gt;1</f>
        <v/>
      </c>
      <c r="S684" s="8">
        <f>IF(H684=TRUE,"Disponible","No disponible")</f>
        <v/>
      </c>
      <c r="T684" s="8">
        <f>IF(AND(ISNUMBER(I684),I684&gt;0),ROUND(F684/I684,2),"Sin volumen")</f>
        <v/>
      </c>
      <c r="U684" s="8">
        <f>IF(F684&lt;5000,"Bajo",IF(F684&lt;15000,"Medio","Alto"))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TRIM(CLEAN(PROPER(D685)))</f>
        <v/>
      </c>
      <c r="Q685">
        <f>PROPER(TRIM(SUBSTITUTE(SUBSTITUTE(SUBSTITUTE(SUBSTITUTE(E685,"TRESEMME","Tresemme"),"HEAD &amp; SHOULDERS","Head &amp; Shoulders"),"ELVIVE","Elvive"),"FRUCTIS","Fructis")))</f>
        <v/>
      </c>
      <c r="R685">
        <f>COUNTIF($D$2:$D$10000,D685)&gt;1</f>
        <v/>
      </c>
      <c r="S685">
        <f>IF(H685=TRUE,"Disponible","No disponible")</f>
        <v/>
      </c>
      <c r="T685">
        <f>IF(AND(ISNUMBER(I685),I685&gt;0),ROUND(F685/I685,2),"Sin volumen")</f>
        <v/>
      </c>
      <c r="U685">
        <f>IF(F685&lt;5000,"Bajo",IF(F685&lt;15000,"Medio","Alto"))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TRIM(CLEAN(PROPER(D686)))</f>
        <v/>
      </c>
      <c r="Q686" s="8">
        <f>PROPER(TRIM(SUBSTITUTE(SUBSTITUTE(SUBSTITUTE(SUBSTITUTE(E686,"TRESEMME","Tresemme"),"HEAD &amp; SHOULDERS","Head &amp; Shoulders"),"ELVIVE","Elvive"),"FRUCTIS","Fructis")))</f>
        <v/>
      </c>
      <c r="R686" s="8">
        <f>COUNTIF($D$2:$D$10000,D686)&gt;1</f>
        <v/>
      </c>
      <c r="S686" s="8">
        <f>IF(H686=TRUE,"Disponible","No disponible")</f>
        <v/>
      </c>
      <c r="T686" s="8">
        <f>IF(AND(ISNUMBER(I686),I686&gt;0),ROUND(F686/I686,2),"Sin volumen")</f>
        <v/>
      </c>
      <c r="U686" s="8">
        <f>IF(F686&lt;5000,"Bajo",IF(F686&lt;15000,"Medio","Alto"))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TRIM(CLEAN(PROPER(D687)))</f>
        <v/>
      </c>
      <c r="Q687">
        <f>PROPER(TRIM(SUBSTITUTE(SUBSTITUTE(SUBSTITUTE(SUBSTITUTE(E687,"TRESEMME","Tresemme"),"HEAD &amp; SHOULDERS","Head &amp; Shoulders"),"ELVIVE","Elvive"),"FRUCTIS","Fructis")))</f>
        <v/>
      </c>
      <c r="R687">
        <f>COUNTIF($D$2:$D$10000,D687)&gt;1</f>
        <v/>
      </c>
      <c r="S687">
        <f>IF(H687=TRUE,"Disponible","No disponible")</f>
        <v/>
      </c>
      <c r="T687">
        <f>IF(AND(ISNUMBER(I687),I687&gt;0),ROUND(F687/I687,2),"Sin volumen")</f>
        <v/>
      </c>
      <c r="U687">
        <f>IF(F687&lt;5000,"Bajo",IF(F687&lt;15000,"Medio","Alto"))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TRIM(CLEAN(PROPER(D688)))</f>
        <v/>
      </c>
      <c r="Q688" s="8">
        <f>PROPER(TRIM(SUBSTITUTE(SUBSTITUTE(SUBSTITUTE(SUBSTITUTE(E688,"TRESEMME","Tresemme"),"HEAD &amp; SHOULDERS","Head &amp; Shoulders"),"ELVIVE","Elvive"),"FRUCTIS","Fructis")))</f>
        <v/>
      </c>
      <c r="R688" s="8">
        <f>COUNTIF($D$2:$D$10000,D688)&gt;1</f>
        <v/>
      </c>
      <c r="S688" s="8">
        <f>IF(H688=TRUE,"Disponible","No disponible")</f>
        <v/>
      </c>
      <c r="T688" s="8">
        <f>IF(AND(ISNUMBER(I688),I688&gt;0),ROUND(F688/I688,2),"Sin volumen")</f>
        <v/>
      </c>
      <c r="U688" s="8">
        <f>IF(F688&lt;5000,"Bajo",IF(F688&lt;15000,"Medio","Alto"))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TRIM(CLEAN(PROPER(D689)))</f>
        <v/>
      </c>
      <c r="Q689">
        <f>PROPER(TRIM(SUBSTITUTE(SUBSTITUTE(SUBSTITUTE(SUBSTITUTE(E689,"TRESEMME","Tresemme"),"HEAD &amp; SHOULDERS","Head &amp; Shoulders"),"ELVIVE","Elvive"),"FRUCTIS","Fructis")))</f>
        <v/>
      </c>
      <c r="R689">
        <f>COUNTIF($D$2:$D$10000,D689)&gt;1</f>
        <v/>
      </c>
      <c r="S689">
        <f>IF(H689=TRUE,"Disponible","No disponible")</f>
        <v/>
      </c>
      <c r="T689">
        <f>IF(AND(ISNUMBER(I689),I689&gt;0),ROUND(F689/I689,2),"Sin volumen")</f>
        <v/>
      </c>
      <c r="U689">
        <f>IF(F689&lt;5000,"Bajo",IF(F689&lt;15000,"Medio","Alto"))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TRIM(CLEAN(PROPER(D690)))</f>
        <v/>
      </c>
      <c r="Q690" s="8">
        <f>PROPER(TRIM(SUBSTITUTE(SUBSTITUTE(SUBSTITUTE(SUBSTITUTE(E690,"TRESEMME","Tresemme"),"HEAD &amp; SHOULDERS","Head &amp; Shoulders"),"ELVIVE","Elvive"),"FRUCTIS","Fructis")))</f>
        <v/>
      </c>
      <c r="R690" s="8">
        <f>COUNTIF($D$2:$D$10000,D690)&gt;1</f>
        <v/>
      </c>
      <c r="S690" s="8">
        <f>IF(H690=TRUE,"Disponible","No disponible")</f>
        <v/>
      </c>
      <c r="T690" s="8">
        <f>IF(AND(ISNUMBER(I690),I690&gt;0),ROUND(F690/I690,2),"Sin volumen")</f>
        <v/>
      </c>
      <c r="U690" s="8">
        <f>IF(F690&lt;5000,"Bajo",IF(F690&lt;15000,"Medio","Alto"))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TRIM(CLEAN(PROPER(D691)))</f>
        <v/>
      </c>
      <c r="Q691">
        <f>PROPER(TRIM(SUBSTITUTE(SUBSTITUTE(SUBSTITUTE(SUBSTITUTE(E691,"TRESEMME","Tresemme"),"HEAD &amp; SHOULDERS","Head &amp; Shoulders"),"ELVIVE","Elvive"),"FRUCTIS","Fructis")))</f>
        <v/>
      </c>
      <c r="R691">
        <f>COUNTIF($D$2:$D$10000,D691)&gt;1</f>
        <v/>
      </c>
      <c r="S691">
        <f>IF(H691=TRUE,"Disponible","No disponible")</f>
        <v/>
      </c>
      <c r="T691">
        <f>IF(AND(ISNUMBER(I691),I691&gt;0),ROUND(F691/I691,2),"Sin volumen")</f>
        <v/>
      </c>
      <c r="U691">
        <f>IF(F691&lt;5000,"Bajo",IF(F691&lt;15000,"Medio","Alto"))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TRIM(CLEAN(PROPER(D692)))</f>
        <v/>
      </c>
      <c r="Q692" s="8">
        <f>PROPER(TRIM(SUBSTITUTE(SUBSTITUTE(SUBSTITUTE(SUBSTITUTE(E692,"TRESEMME","Tresemme"),"HEAD &amp; SHOULDERS","Head &amp; Shoulders"),"ELVIVE","Elvive"),"FRUCTIS","Fructis")))</f>
        <v/>
      </c>
      <c r="R692" s="8">
        <f>COUNTIF($D$2:$D$10000,D692)&gt;1</f>
        <v/>
      </c>
      <c r="S692" s="8">
        <f>IF(H692=TRUE,"Disponible","No disponible")</f>
        <v/>
      </c>
      <c r="T692" s="8">
        <f>IF(AND(ISNUMBER(I692),I692&gt;0),ROUND(F692/I692,2),"Sin volumen")</f>
        <v/>
      </c>
      <c r="U692" s="8">
        <f>IF(F692&lt;5000,"Bajo",IF(F692&lt;15000,"Medio","Alto"))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TRIM(CLEAN(PROPER(D693)))</f>
        <v/>
      </c>
      <c r="Q693">
        <f>PROPER(TRIM(SUBSTITUTE(SUBSTITUTE(SUBSTITUTE(SUBSTITUTE(E693,"TRESEMME","Tresemme"),"HEAD &amp; SHOULDERS","Head &amp; Shoulders"),"ELVIVE","Elvive"),"FRUCTIS","Fructis")))</f>
        <v/>
      </c>
      <c r="R693">
        <f>COUNTIF($D$2:$D$10000,D693)&gt;1</f>
        <v/>
      </c>
      <c r="S693">
        <f>IF(H693=TRUE,"Disponible","No disponible")</f>
        <v/>
      </c>
      <c r="T693">
        <f>IF(AND(ISNUMBER(I693),I693&gt;0),ROUND(F693/I693,2),"Sin volumen")</f>
        <v/>
      </c>
      <c r="U693">
        <f>IF(F693&lt;5000,"Bajo",IF(F693&lt;15000,"Medio","Alto"))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TRIM(CLEAN(PROPER(D694)))</f>
        <v/>
      </c>
      <c r="Q694" s="8">
        <f>PROPER(TRIM(SUBSTITUTE(SUBSTITUTE(SUBSTITUTE(SUBSTITUTE(E694,"TRESEMME","Tresemme"),"HEAD &amp; SHOULDERS","Head &amp; Shoulders"),"ELVIVE","Elvive"),"FRUCTIS","Fructis")))</f>
        <v/>
      </c>
      <c r="R694" s="8">
        <f>COUNTIF($D$2:$D$10000,D694)&gt;1</f>
        <v/>
      </c>
      <c r="S694" s="8">
        <f>IF(H694=TRUE,"Disponible","No disponible")</f>
        <v/>
      </c>
      <c r="T694" s="8">
        <f>IF(AND(ISNUMBER(I694),I694&gt;0),ROUND(F694/I694,2),"Sin volumen")</f>
        <v/>
      </c>
      <c r="U694" s="8">
        <f>IF(F694&lt;5000,"Bajo",IF(F694&lt;15000,"Medio","Alto"))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TRIM(CLEAN(PROPER(D695)))</f>
        <v/>
      </c>
      <c r="Q695">
        <f>PROPER(TRIM(SUBSTITUTE(SUBSTITUTE(SUBSTITUTE(SUBSTITUTE(E695,"TRESEMME","Tresemme"),"HEAD &amp; SHOULDERS","Head &amp; Shoulders"),"ELVIVE","Elvive"),"FRUCTIS","Fructis")))</f>
        <v/>
      </c>
      <c r="R695">
        <f>COUNTIF($D$2:$D$10000,D695)&gt;1</f>
        <v/>
      </c>
      <c r="S695">
        <f>IF(H695=TRUE,"Disponible","No disponible")</f>
        <v/>
      </c>
      <c r="T695">
        <f>IF(AND(ISNUMBER(I695),I695&gt;0),ROUND(F695/I695,2),"Sin volumen")</f>
        <v/>
      </c>
      <c r="U695">
        <f>IF(F695&lt;5000,"Bajo",IF(F695&lt;15000,"Medio","Alto"))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TRIM(CLEAN(PROPER(D696)))</f>
        <v/>
      </c>
      <c r="Q696" s="8">
        <f>PROPER(TRIM(SUBSTITUTE(SUBSTITUTE(SUBSTITUTE(SUBSTITUTE(E696,"TRESEMME","Tresemme"),"HEAD &amp; SHOULDERS","Head &amp; Shoulders"),"ELVIVE","Elvive"),"FRUCTIS","Fructis")))</f>
        <v/>
      </c>
      <c r="R696" s="8">
        <f>COUNTIF($D$2:$D$10000,D696)&gt;1</f>
        <v/>
      </c>
      <c r="S696" s="8">
        <f>IF(H696=TRUE,"Disponible","No disponible")</f>
        <v/>
      </c>
      <c r="T696" s="8">
        <f>IF(AND(ISNUMBER(I696),I696&gt;0),ROUND(F696/I696,2),"Sin volumen")</f>
        <v/>
      </c>
      <c r="U696" s="8">
        <f>IF(F696&lt;5000,"Bajo",IF(F696&lt;15000,"Medio","Alto"))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TRIM(CLEAN(PROPER(D697)))</f>
        <v/>
      </c>
      <c r="Q697">
        <f>PROPER(TRIM(SUBSTITUTE(SUBSTITUTE(SUBSTITUTE(SUBSTITUTE(E697,"TRESEMME","Tresemme"),"HEAD &amp; SHOULDERS","Head &amp; Shoulders"),"ELVIVE","Elvive"),"FRUCTIS","Fructis")))</f>
        <v/>
      </c>
      <c r="R697">
        <f>COUNTIF($D$2:$D$10000,D697)&gt;1</f>
        <v/>
      </c>
      <c r="S697">
        <f>IF(H697=TRUE,"Disponible","No disponible")</f>
        <v/>
      </c>
      <c r="T697">
        <f>IF(AND(ISNUMBER(I697),I697&gt;0),ROUND(F697/I697,2),"Sin volumen")</f>
        <v/>
      </c>
      <c r="U697">
        <f>IF(F697&lt;5000,"Bajo",IF(F697&lt;15000,"Medio","Alto"))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TRIM(CLEAN(PROPER(D698)))</f>
        <v/>
      </c>
      <c r="Q698" s="8">
        <f>PROPER(TRIM(SUBSTITUTE(SUBSTITUTE(SUBSTITUTE(SUBSTITUTE(E698,"TRESEMME","Tresemme"),"HEAD &amp; SHOULDERS","Head &amp; Shoulders"),"ELVIVE","Elvive"),"FRUCTIS","Fructis")))</f>
        <v/>
      </c>
      <c r="R698" s="8">
        <f>COUNTIF($D$2:$D$10000,D698)&gt;1</f>
        <v/>
      </c>
      <c r="S698" s="8">
        <f>IF(H698=TRUE,"Disponible","No disponible")</f>
        <v/>
      </c>
      <c r="T698" s="8">
        <f>IF(AND(ISNUMBER(I698),I698&gt;0),ROUND(F698/I698,2),"Sin volumen")</f>
        <v/>
      </c>
      <c r="U698" s="8">
        <f>IF(F698&lt;5000,"Bajo",IF(F698&lt;15000,"Medio","Alto"))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TRIM(CLEAN(PROPER(D699)))</f>
        <v/>
      </c>
      <c r="Q699">
        <f>PROPER(TRIM(SUBSTITUTE(SUBSTITUTE(SUBSTITUTE(SUBSTITUTE(E699,"TRESEMME","Tresemme"),"HEAD &amp; SHOULDERS","Head &amp; Shoulders"),"ELVIVE","Elvive"),"FRUCTIS","Fructis")))</f>
        <v/>
      </c>
      <c r="R699">
        <f>COUNTIF($D$2:$D$10000,D699)&gt;1</f>
        <v/>
      </c>
      <c r="S699">
        <f>IF(H699=TRUE,"Disponible","No disponible")</f>
        <v/>
      </c>
      <c r="T699">
        <f>IF(AND(ISNUMBER(I699),I699&gt;0),ROUND(F699/I699,2),"Sin volumen")</f>
        <v/>
      </c>
      <c r="U699">
        <f>IF(F699&lt;5000,"Bajo",IF(F699&lt;15000,"Medio","Alto"))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TRIM(CLEAN(PROPER(D700)))</f>
        <v/>
      </c>
      <c r="Q700" s="8">
        <f>PROPER(TRIM(SUBSTITUTE(SUBSTITUTE(SUBSTITUTE(SUBSTITUTE(E700,"TRESEMME","Tresemme"),"HEAD &amp; SHOULDERS","Head &amp; Shoulders"),"ELVIVE","Elvive"),"FRUCTIS","Fructis")))</f>
        <v/>
      </c>
      <c r="R700" s="8">
        <f>COUNTIF($D$2:$D$10000,D700)&gt;1</f>
        <v/>
      </c>
      <c r="S700" s="8">
        <f>IF(H700=TRUE,"Disponible","No disponible")</f>
        <v/>
      </c>
      <c r="T700" s="8">
        <f>IF(AND(ISNUMBER(I700),I700&gt;0),ROUND(F700/I700,2),"Sin volumen")</f>
        <v/>
      </c>
      <c r="U700" s="8">
        <f>IF(F700&lt;5000,"Bajo",IF(F700&lt;15000,"Medio","Alto"))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TRIM(CLEAN(PROPER(D701)))</f>
        <v/>
      </c>
      <c r="Q701">
        <f>PROPER(TRIM(SUBSTITUTE(SUBSTITUTE(SUBSTITUTE(SUBSTITUTE(E701,"TRESEMME","Tresemme"),"HEAD &amp; SHOULDERS","Head &amp; Shoulders"),"ELVIVE","Elvive"),"FRUCTIS","Fructis")))</f>
        <v/>
      </c>
      <c r="R701">
        <f>COUNTIF($D$2:$D$10000,D701)&gt;1</f>
        <v/>
      </c>
      <c r="S701">
        <f>IF(H701=TRUE,"Disponible","No disponible")</f>
        <v/>
      </c>
      <c r="T701">
        <f>IF(AND(ISNUMBER(I701),I701&gt;0),ROUND(F701/I701,2),"Sin volumen")</f>
        <v/>
      </c>
      <c r="U701">
        <f>IF(F701&lt;5000,"Bajo",IF(F701&lt;15000,"Medio","Alto"))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TRIM(CLEAN(PROPER(D702)))</f>
        <v/>
      </c>
      <c r="Q702" s="8">
        <f>PROPER(TRIM(SUBSTITUTE(SUBSTITUTE(SUBSTITUTE(SUBSTITUTE(E702,"TRESEMME","Tresemme"),"HEAD &amp; SHOULDERS","Head &amp; Shoulders"),"ELVIVE","Elvive"),"FRUCTIS","Fructis")))</f>
        <v/>
      </c>
      <c r="R702" s="8">
        <f>COUNTIF($D$2:$D$10000,D702)&gt;1</f>
        <v/>
      </c>
      <c r="S702" s="8">
        <f>IF(H702=TRUE,"Disponible","No disponible")</f>
        <v/>
      </c>
      <c r="T702" s="8">
        <f>IF(AND(ISNUMBER(I702),I702&gt;0),ROUND(F702/I702,2),"Sin volumen")</f>
        <v/>
      </c>
      <c r="U702" s="8">
        <f>IF(F702&lt;5000,"Bajo",IF(F702&lt;15000,"Medio","Alto"))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TRIM(CLEAN(PROPER(D703)))</f>
        <v/>
      </c>
      <c r="Q703">
        <f>PROPER(TRIM(SUBSTITUTE(SUBSTITUTE(SUBSTITUTE(SUBSTITUTE(E703,"TRESEMME","Tresemme"),"HEAD &amp; SHOULDERS","Head &amp; Shoulders"),"ELVIVE","Elvive"),"FRUCTIS","Fructis")))</f>
        <v/>
      </c>
      <c r="R703">
        <f>COUNTIF($D$2:$D$10000,D703)&gt;1</f>
        <v/>
      </c>
      <c r="S703">
        <f>IF(H703=TRUE,"Disponible","No disponible")</f>
        <v/>
      </c>
      <c r="T703">
        <f>IF(AND(ISNUMBER(I703),I703&gt;0),ROUND(F703/I703,2),"Sin volumen")</f>
        <v/>
      </c>
      <c r="U703">
        <f>IF(F703&lt;5000,"Bajo",IF(F703&lt;15000,"Medio","Alto"))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TRIM(CLEAN(PROPER(D704)))</f>
        <v/>
      </c>
      <c r="Q704" s="8">
        <f>PROPER(TRIM(SUBSTITUTE(SUBSTITUTE(SUBSTITUTE(SUBSTITUTE(E704,"TRESEMME","Tresemme"),"HEAD &amp; SHOULDERS","Head &amp; Shoulders"),"ELVIVE","Elvive"),"FRUCTIS","Fructis")))</f>
        <v/>
      </c>
      <c r="R704" s="8">
        <f>COUNTIF($D$2:$D$10000,D704)&gt;1</f>
        <v/>
      </c>
      <c r="S704" s="8">
        <f>IF(H704=TRUE,"Disponible","No disponible")</f>
        <v/>
      </c>
      <c r="T704" s="8">
        <f>IF(AND(ISNUMBER(I704),I704&gt;0),ROUND(F704/I704,2),"Sin volumen")</f>
        <v/>
      </c>
      <c r="U704" s="8">
        <f>IF(F704&lt;5000,"Bajo",IF(F704&lt;15000,"Medio","Alto"))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TRIM(CLEAN(PROPER(D705)))</f>
        <v/>
      </c>
      <c r="Q705">
        <f>PROPER(TRIM(SUBSTITUTE(SUBSTITUTE(SUBSTITUTE(SUBSTITUTE(E705,"TRESEMME","Tresemme"),"HEAD &amp; SHOULDERS","Head &amp; Shoulders"),"ELVIVE","Elvive"),"FRUCTIS","Fructis")))</f>
        <v/>
      </c>
      <c r="R705">
        <f>COUNTIF($D$2:$D$10000,D705)&gt;1</f>
        <v/>
      </c>
      <c r="S705">
        <f>IF(H705=TRUE,"Disponible","No disponible")</f>
        <v/>
      </c>
      <c r="T705">
        <f>IF(AND(ISNUMBER(I705),I705&gt;0),ROUND(F705/I705,2),"Sin volumen")</f>
        <v/>
      </c>
      <c r="U705">
        <f>IF(F705&lt;5000,"Bajo",IF(F705&lt;15000,"Medio","Alto"))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TRIM(CLEAN(PROPER(D706)))</f>
        <v/>
      </c>
      <c r="Q706" s="8">
        <f>PROPER(TRIM(SUBSTITUTE(SUBSTITUTE(SUBSTITUTE(SUBSTITUTE(E706,"TRESEMME","Tresemme"),"HEAD &amp; SHOULDERS","Head &amp; Shoulders"),"ELVIVE","Elvive"),"FRUCTIS","Fructis")))</f>
        <v/>
      </c>
      <c r="R706" s="8">
        <f>COUNTIF($D$2:$D$10000,D706)&gt;1</f>
        <v/>
      </c>
      <c r="S706" s="8">
        <f>IF(H706=TRUE,"Disponible","No disponible")</f>
        <v/>
      </c>
      <c r="T706" s="8">
        <f>IF(AND(ISNUMBER(I706),I706&gt;0),ROUND(F706/I706,2),"Sin volumen")</f>
        <v/>
      </c>
      <c r="U706" s="8">
        <f>IF(F706&lt;5000,"Bajo",IF(F706&lt;15000,"Medio","Alto"))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TRIM(CLEAN(PROPER(D707)))</f>
        <v/>
      </c>
      <c r="Q707">
        <f>PROPER(TRIM(SUBSTITUTE(SUBSTITUTE(SUBSTITUTE(SUBSTITUTE(E707,"TRESEMME","Tresemme"),"HEAD &amp; SHOULDERS","Head &amp; Shoulders"),"ELVIVE","Elvive"),"FRUCTIS","Fructis")))</f>
        <v/>
      </c>
      <c r="R707">
        <f>COUNTIF($D$2:$D$10000,D707)&gt;1</f>
        <v/>
      </c>
      <c r="S707">
        <f>IF(H707=TRUE,"Disponible","No disponible")</f>
        <v/>
      </c>
      <c r="T707">
        <f>IF(AND(ISNUMBER(I707),I707&gt;0),ROUND(F707/I707,2),"Sin volumen")</f>
        <v/>
      </c>
      <c r="U707">
        <f>IF(F707&lt;5000,"Bajo",IF(F707&lt;15000,"Medio","Alto"))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TRIM(CLEAN(PROPER(D708)))</f>
        <v/>
      </c>
      <c r="Q708" s="8">
        <f>PROPER(TRIM(SUBSTITUTE(SUBSTITUTE(SUBSTITUTE(SUBSTITUTE(E708,"TRESEMME","Tresemme"),"HEAD &amp; SHOULDERS","Head &amp; Shoulders"),"ELVIVE","Elvive"),"FRUCTIS","Fructis")))</f>
        <v/>
      </c>
      <c r="R708" s="8">
        <f>COUNTIF($D$2:$D$10000,D708)&gt;1</f>
        <v/>
      </c>
      <c r="S708" s="8">
        <f>IF(H708=TRUE,"Disponible","No disponible")</f>
        <v/>
      </c>
      <c r="T708" s="8">
        <f>IF(AND(ISNUMBER(I708),I708&gt;0),ROUND(F708/I708,2),"Sin volumen")</f>
        <v/>
      </c>
      <c r="U708" s="8">
        <f>IF(F708&lt;5000,"Bajo",IF(F708&lt;15000,"Medio","Alto"))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TRIM(CLEAN(PROPER(D709)))</f>
        <v/>
      </c>
      <c r="Q709">
        <f>PROPER(TRIM(SUBSTITUTE(SUBSTITUTE(SUBSTITUTE(SUBSTITUTE(E709,"TRESEMME","Tresemme"),"HEAD &amp; SHOULDERS","Head &amp; Shoulders"),"ELVIVE","Elvive"),"FRUCTIS","Fructis")))</f>
        <v/>
      </c>
      <c r="R709">
        <f>COUNTIF($D$2:$D$10000,D709)&gt;1</f>
        <v/>
      </c>
      <c r="S709">
        <f>IF(H709=TRUE,"Disponible","No disponible")</f>
        <v/>
      </c>
      <c r="T709">
        <f>IF(AND(ISNUMBER(I709),I709&gt;0),ROUND(F709/I709,2),"Sin volumen")</f>
        <v/>
      </c>
      <c r="U709">
        <f>IF(F709&lt;5000,"Bajo",IF(F709&lt;15000,"Medio","Alto"))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TRIM(CLEAN(PROPER(D710)))</f>
        <v/>
      </c>
      <c r="Q710" s="8">
        <f>PROPER(TRIM(SUBSTITUTE(SUBSTITUTE(SUBSTITUTE(SUBSTITUTE(E710,"TRESEMME","Tresemme"),"HEAD &amp; SHOULDERS","Head &amp; Shoulders"),"ELVIVE","Elvive"),"FRUCTIS","Fructis")))</f>
        <v/>
      </c>
      <c r="R710" s="8">
        <f>COUNTIF($D$2:$D$10000,D710)&gt;1</f>
        <v/>
      </c>
      <c r="S710" s="8">
        <f>IF(H710=TRUE,"Disponible","No disponible")</f>
        <v/>
      </c>
      <c r="T710" s="8">
        <f>IF(AND(ISNUMBER(I710),I710&gt;0),ROUND(F710/I710,2),"Sin volumen")</f>
        <v/>
      </c>
      <c r="U710" s="8">
        <f>IF(F710&lt;5000,"Bajo",IF(F710&lt;15000,"Medio","Alto"))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TRIM(CLEAN(PROPER(D711)))</f>
        <v/>
      </c>
      <c r="Q711">
        <f>PROPER(TRIM(SUBSTITUTE(SUBSTITUTE(SUBSTITUTE(SUBSTITUTE(E711,"TRESEMME","Tresemme"),"HEAD &amp; SHOULDERS","Head &amp; Shoulders"),"ELVIVE","Elvive"),"FRUCTIS","Fructis")))</f>
        <v/>
      </c>
      <c r="R711">
        <f>COUNTIF($D$2:$D$10000,D711)&gt;1</f>
        <v/>
      </c>
      <c r="S711">
        <f>IF(H711=TRUE,"Disponible","No disponible")</f>
        <v/>
      </c>
      <c r="T711">
        <f>IF(AND(ISNUMBER(I711),I711&gt;0),ROUND(F711/I711,2),"Sin volumen")</f>
        <v/>
      </c>
      <c r="U711">
        <f>IF(F711&lt;5000,"Bajo",IF(F711&lt;15000,"Medio","Alto"))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TRIM(CLEAN(PROPER(D712)))</f>
        <v/>
      </c>
      <c r="Q712" s="8">
        <f>PROPER(TRIM(SUBSTITUTE(SUBSTITUTE(SUBSTITUTE(SUBSTITUTE(E712,"TRESEMME","Tresemme"),"HEAD &amp; SHOULDERS","Head &amp; Shoulders"),"ELVIVE","Elvive"),"FRUCTIS","Fructis")))</f>
        <v/>
      </c>
      <c r="R712" s="8">
        <f>COUNTIF($D$2:$D$10000,D712)&gt;1</f>
        <v/>
      </c>
      <c r="S712" s="8">
        <f>IF(H712=TRUE,"Disponible","No disponible")</f>
        <v/>
      </c>
      <c r="T712" s="8">
        <f>IF(AND(ISNUMBER(I712),I712&gt;0),ROUND(F712/I712,2),"Sin volumen")</f>
        <v/>
      </c>
      <c r="U712" s="8">
        <f>IF(F712&lt;5000,"Bajo",IF(F712&lt;15000,"Medio","Alto"))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TRIM(CLEAN(PROPER(D713)))</f>
        <v/>
      </c>
      <c r="Q713">
        <f>PROPER(TRIM(SUBSTITUTE(SUBSTITUTE(SUBSTITUTE(SUBSTITUTE(E713,"TRESEMME","Tresemme"),"HEAD &amp; SHOULDERS","Head &amp; Shoulders"),"ELVIVE","Elvive"),"FRUCTIS","Fructis")))</f>
        <v/>
      </c>
      <c r="R713">
        <f>COUNTIF($D$2:$D$10000,D713)&gt;1</f>
        <v/>
      </c>
      <c r="S713">
        <f>IF(H713=TRUE,"Disponible","No disponible")</f>
        <v/>
      </c>
      <c r="T713">
        <f>IF(AND(ISNUMBER(I713),I713&gt;0),ROUND(F713/I713,2),"Sin volumen")</f>
        <v/>
      </c>
      <c r="U713">
        <f>IF(F713&lt;5000,"Bajo",IF(F713&lt;15000,"Medio","Alto"))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TRIM(CLEAN(PROPER(D714)))</f>
        <v/>
      </c>
      <c r="Q714" s="8">
        <f>PROPER(TRIM(SUBSTITUTE(SUBSTITUTE(SUBSTITUTE(SUBSTITUTE(E714,"TRESEMME","Tresemme"),"HEAD &amp; SHOULDERS","Head &amp; Shoulders"),"ELVIVE","Elvive"),"FRUCTIS","Fructis")))</f>
        <v/>
      </c>
      <c r="R714" s="8">
        <f>COUNTIF($D$2:$D$10000,D714)&gt;1</f>
        <v/>
      </c>
      <c r="S714" s="8">
        <f>IF(H714=TRUE,"Disponible","No disponible")</f>
        <v/>
      </c>
      <c r="T714" s="8">
        <f>IF(AND(ISNUMBER(I714),I714&gt;0),ROUND(F714/I714,2),"Sin volumen")</f>
        <v/>
      </c>
      <c r="U714" s="8">
        <f>IF(F714&lt;5000,"Bajo",IF(F714&lt;15000,"Medio","Alto"))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TRIM(CLEAN(PROPER(D715)))</f>
        <v/>
      </c>
      <c r="Q715">
        <f>PROPER(TRIM(SUBSTITUTE(SUBSTITUTE(SUBSTITUTE(SUBSTITUTE(E715,"TRESEMME","Tresemme"),"HEAD &amp; SHOULDERS","Head &amp; Shoulders"),"ELVIVE","Elvive"),"FRUCTIS","Fructis")))</f>
        <v/>
      </c>
      <c r="R715">
        <f>COUNTIF($D$2:$D$10000,D715)&gt;1</f>
        <v/>
      </c>
      <c r="S715">
        <f>IF(H715=TRUE,"Disponible","No disponible")</f>
        <v/>
      </c>
      <c r="T715">
        <f>IF(AND(ISNUMBER(I715),I715&gt;0),ROUND(F715/I715,2),"Sin volumen")</f>
        <v/>
      </c>
      <c r="U715">
        <f>IF(F715&lt;5000,"Bajo",IF(F715&lt;15000,"Medio","Alto"))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TRIM(CLEAN(PROPER(D716)))</f>
        <v/>
      </c>
      <c r="Q716" s="8">
        <f>PROPER(TRIM(SUBSTITUTE(SUBSTITUTE(SUBSTITUTE(SUBSTITUTE(E716,"TRESEMME","Tresemme"),"HEAD &amp; SHOULDERS","Head &amp; Shoulders"),"ELVIVE","Elvive"),"FRUCTIS","Fructis")))</f>
        <v/>
      </c>
      <c r="R716" s="8">
        <f>COUNTIF($D$2:$D$10000,D716)&gt;1</f>
        <v/>
      </c>
      <c r="S716" s="8">
        <f>IF(H716=TRUE,"Disponible","No disponible")</f>
        <v/>
      </c>
      <c r="T716" s="8">
        <f>IF(AND(ISNUMBER(I716),I716&gt;0),ROUND(F716/I716,2),"Sin volumen")</f>
        <v/>
      </c>
      <c r="U716" s="8">
        <f>IF(F716&lt;5000,"Bajo",IF(F716&lt;15000,"Medio","Alto"))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TRIM(CLEAN(PROPER(D717)))</f>
        <v/>
      </c>
      <c r="Q717">
        <f>PROPER(TRIM(SUBSTITUTE(SUBSTITUTE(SUBSTITUTE(SUBSTITUTE(E717,"TRESEMME","Tresemme"),"HEAD &amp; SHOULDERS","Head &amp; Shoulders"),"ELVIVE","Elvive"),"FRUCTIS","Fructis")))</f>
        <v/>
      </c>
      <c r="R717">
        <f>COUNTIF($D$2:$D$10000,D717)&gt;1</f>
        <v/>
      </c>
      <c r="S717">
        <f>IF(H717=TRUE,"Disponible","No disponible")</f>
        <v/>
      </c>
      <c r="T717">
        <f>IF(AND(ISNUMBER(I717),I717&gt;0),ROUND(F717/I717,2),"Sin volumen")</f>
        <v/>
      </c>
      <c r="U717">
        <f>IF(F717&lt;5000,"Bajo",IF(F717&lt;15000,"Medio","Alto"))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TRIM(CLEAN(PROPER(D718)))</f>
        <v/>
      </c>
      <c r="Q718" s="8">
        <f>PROPER(TRIM(SUBSTITUTE(SUBSTITUTE(SUBSTITUTE(SUBSTITUTE(E718,"TRESEMME","Tresemme"),"HEAD &amp; SHOULDERS","Head &amp; Shoulders"),"ELVIVE","Elvive"),"FRUCTIS","Fructis")))</f>
        <v/>
      </c>
      <c r="R718" s="8">
        <f>COUNTIF($D$2:$D$10000,D718)&gt;1</f>
        <v/>
      </c>
      <c r="S718" s="8">
        <f>IF(H718=TRUE,"Disponible","No disponible")</f>
        <v/>
      </c>
      <c r="T718" s="8">
        <f>IF(AND(ISNUMBER(I718),I718&gt;0),ROUND(F718/I718,2),"Sin volumen")</f>
        <v/>
      </c>
      <c r="U718" s="8">
        <f>IF(F718&lt;5000,"Bajo",IF(F718&lt;15000,"Medio","Alto"))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TRIM(CLEAN(PROPER(D719)))</f>
        <v/>
      </c>
      <c r="Q719">
        <f>PROPER(TRIM(SUBSTITUTE(SUBSTITUTE(SUBSTITUTE(SUBSTITUTE(E719,"TRESEMME","Tresemme"),"HEAD &amp; SHOULDERS","Head &amp; Shoulders"),"ELVIVE","Elvive"),"FRUCTIS","Fructis")))</f>
        <v/>
      </c>
      <c r="R719">
        <f>COUNTIF($D$2:$D$10000,D719)&gt;1</f>
        <v/>
      </c>
      <c r="S719">
        <f>IF(H719=TRUE,"Disponible","No disponible")</f>
        <v/>
      </c>
      <c r="T719">
        <f>IF(AND(ISNUMBER(I719),I719&gt;0),ROUND(F719/I719,2),"Sin volumen")</f>
        <v/>
      </c>
      <c r="U719">
        <f>IF(F719&lt;5000,"Bajo",IF(F719&lt;15000,"Medio","Alto"))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TRIM(CLEAN(PROPER(D720)))</f>
        <v/>
      </c>
      <c r="Q720" s="8">
        <f>PROPER(TRIM(SUBSTITUTE(SUBSTITUTE(SUBSTITUTE(SUBSTITUTE(E720,"TRESEMME","Tresemme"),"HEAD &amp; SHOULDERS","Head &amp; Shoulders"),"ELVIVE","Elvive"),"FRUCTIS","Fructis")))</f>
        <v/>
      </c>
      <c r="R720" s="8">
        <f>COUNTIF($D$2:$D$10000,D720)&gt;1</f>
        <v/>
      </c>
      <c r="S720" s="8">
        <f>IF(H720=TRUE,"Disponible","No disponible")</f>
        <v/>
      </c>
      <c r="T720" s="8">
        <f>IF(AND(ISNUMBER(I720),I720&gt;0),ROUND(F720/I720,2),"Sin volumen")</f>
        <v/>
      </c>
      <c r="U720" s="8">
        <f>IF(F720&lt;5000,"Bajo",IF(F720&lt;15000,"Medio","Alto"))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TRIM(CLEAN(PROPER(D721)))</f>
        <v/>
      </c>
      <c r="Q721">
        <f>PROPER(TRIM(SUBSTITUTE(SUBSTITUTE(SUBSTITUTE(SUBSTITUTE(E721,"TRESEMME","Tresemme"),"HEAD &amp; SHOULDERS","Head &amp; Shoulders"),"ELVIVE","Elvive"),"FRUCTIS","Fructis")))</f>
        <v/>
      </c>
      <c r="R721">
        <f>COUNTIF($D$2:$D$10000,D721)&gt;1</f>
        <v/>
      </c>
      <c r="S721">
        <f>IF(H721=TRUE,"Disponible","No disponible")</f>
        <v/>
      </c>
      <c r="T721">
        <f>IF(AND(ISNUMBER(I721),I721&gt;0),ROUND(F721/I721,2),"Sin volumen")</f>
        <v/>
      </c>
      <c r="U721">
        <f>IF(F721&lt;5000,"Bajo",IF(F721&lt;15000,"Medio","Alto"))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TRIM(CLEAN(PROPER(D722)))</f>
        <v/>
      </c>
      <c r="Q722" s="8">
        <f>PROPER(TRIM(SUBSTITUTE(SUBSTITUTE(SUBSTITUTE(SUBSTITUTE(E722,"TRESEMME","Tresemme"),"HEAD &amp; SHOULDERS","Head &amp; Shoulders"),"ELVIVE","Elvive"),"FRUCTIS","Fructis")))</f>
        <v/>
      </c>
      <c r="R722" s="8">
        <f>COUNTIF($D$2:$D$10000,D722)&gt;1</f>
        <v/>
      </c>
      <c r="S722" s="8">
        <f>IF(H722=TRUE,"Disponible","No disponible")</f>
        <v/>
      </c>
      <c r="T722" s="8">
        <f>IF(AND(ISNUMBER(I722),I722&gt;0),ROUND(F722/I722,2),"Sin volumen")</f>
        <v/>
      </c>
      <c r="U722" s="8">
        <f>IF(F722&lt;5000,"Bajo",IF(F722&lt;15000,"Medio","Alto"))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TRIM(CLEAN(PROPER(D723)))</f>
        <v/>
      </c>
      <c r="Q723">
        <f>PROPER(TRIM(SUBSTITUTE(SUBSTITUTE(SUBSTITUTE(SUBSTITUTE(E723,"TRESEMME","Tresemme"),"HEAD &amp; SHOULDERS","Head &amp; Shoulders"),"ELVIVE","Elvive"),"FRUCTIS","Fructis")))</f>
        <v/>
      </c>
      <c r="R723">
        <f>COUNTIF($D$2:$D$10000,D723)&gt;1</f>
        <v/>
      </c>
      <c r="S723">
        <f>IF(H723=TRUE,"Disponible","No disponible")</f>
        <v/>
      </c>
      <c r="T723">
        <f>IF(AND(ISNUMBER(I723),I723&gt;0),ROUND(F723/I723,2),"Sin volumen")</f>
        <v/>
      </c>
      <c r="U723">
        <f>IF(F723&lt;5000,"Bajo",IF(F723&lt;15000,"Medio","Alto"))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TRIM(CLEAN(PROPER(D724)))</f>
        <v/>
      </c>
      <c r="Q724" s="8">
        <f>PROPER(TRIM(SUBSTITUTE(SUBSTITUTE(SUBSTITUTE(SUBSTITUTE(E724,"TRESEMME","Tresemme"),"HEAD &amp; SHOULDERS","Head &amp; Shoulders"),"ELVIVE","Elvive"),"FRUCTIS","Fructis")))</f>
        <v/>
      </c>
      <c r="R724" s="8">
        <f>COUNTIF($D$2:$D$10000,D724)&gt;1</f>
        <v/>
      </c>
      <c r="S724" s="8">
        <f>IF(H724=TRUE,"Disponible","No disponible")</f>
        <v/>
      </c>
      <c r="T724" s="8">
        <f>IF(AND(ISNUMBER(I724),I724&gt;0),ROUND(F724/I724,2),"Sin volumen")</f>
        <v/>
      </c>
      <c r="U724" s="8">
        <f>IF(F724&lt;5000,"Bajo",IF(F724&lt;15000,"Medio","Alto"))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TRIM(CLEAN(PROPER(D725)))</f>
        <v/>
      </c>
      <c r="Q725">
        <f>PROPER(TRIM(SUBSTITUTE(SUBSTITUTE(SUBSTITUTE(SUBSTITUTE(E725,"TRESEMME","Tresemme"),"HEAD &amp; SHOULDERS","Head &amp; Shoulders"),"ELVIVE","Elvive"),"FRUCTIS","Fructis")))</f>
        <v/>
      </c>
      <c r="R725">
        <f>COUNTIF($D$2:$D$10000,D725)&gt;1</f>
        <v/>
      </c>
      <c r="S725">
        <f>IF(H725=TRUE,"Disponible","No disponible")</f>
        <v/>
      </c>
      <c r="T725">
        <f>IF(AND(ISNUMBER(I725),I725&gt;0),ROUND(F725/I725,2),"Sin volumen")</f>
        <v/>
      </c>
      <c r="U725">
        <f>IF(F725&lt;5000,"Bajo",IF(F725&lt;15000,"Medio","Alto"))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TRIM(CLEAN(PROPER(D726)))</f>
        <v/>
      </c>
      <c r="Q726" s="8">
        <f>PROPER(TRIM(SUBSTITUTE(SUBSTITUTE(SUBSTITUTE(SUBSTITUTE(E726,"TRESEMME","Tresemme"),"HEAD &amp; SHOULDERS","Head &amp; Shoulders"),"ELVIVE","Elvive"),"FRUCTIS","Fructis")))</f>
        <v/>
      </c>
      <c r="R726" s="8">
        <f>COUNTIF($D$2:$D$10000,D726)&gt;1</f>
        <v/>
      </c>
      <c r="S726" s="8">
        <f>IF(H726=TRUE,"Disponible","No disponible")</f>
        <v/>
      </c>
      <c r="T726" s="8">
        <f>IF(AND(ISNUMBER(I726),I726&gt;0),ROUND(F726/I726,2),"Sin volumen")</f>
        <v/>
      </c>
      <c r="U726" s="8">
        <f>IF(F726&lt;5000,"Bajo",IF(F726&lt;15000,"Medio","Alto"))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TRIM(CLEAN(PROPER(D727)))</f>
        <v/>
      </c>
      <c r="Q727">
        <f>PROPER(TRIM(SUBSTITUTE(SUBSTITUTE(SUBSTITUTE(SUBSTITUTE(E727,"TRESEMME","Tresemme"),"HEAD &amp; SHOULDERS","Head &amp; Shoulders"),"ELVIVE","Elvive"),"FRUCTIS","Fructis")))</f>
        <v/>
      </c>
      <c r="R727">
        <f>COUNTIF($D$2:$D$10000,D727)&gt;1</f>
        <v/>
      </c>
      <c r="S727">
        <f>IF(H727=TRUE,"Disponible","No disponible")</f>
        <v/>
      </c>
      <c r="T727">
        <f>IF(AND(ISNUMBER(I727),I727&gt;0),ROUND(F727/I727,2),"Sin volumen")</f>
        <v/>
      </c>
      <c r="U727">
        <f>IF(F727&lt;5000,"Bajo",IF(F727&lt;15000,"Medio","Alto"))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TRIM(CLEAN(PROPER(D728)))</f>
        <v/>
      </c>
      <c r="Q728" s="8">
        <f>PROPER(TRIM(SUBSTITUTE(SUBSTITUTE(SUBSTITUTE(SUBSTITUTE(E728,"TRESEMME","Tresemme"),"HEAD &amp; SHOULDERS","Head &amp; Shoulders"),"ELVIVE","Elvive"),"FRUCTIS","Fructis")))</f>
        <v/>
      </c>
      <c r="R728" s="8">
        <f>COUNTIF($D$2:$D$10000,D728)&gt;1</f>
        <v/>
      </c>
      <c r="S728" s="8">
        <f>IF(H728=TRUE,"Disponible","No disponible")</f>
        <v/>
      </c>
      <c r="T728" s="8">
        <f>IF(AND(ISNUMBER(I728),I728&gt;0),ROUND(F728/I728,2),"Sin volumen")</f>
        <v/>
      </c>
      <c r="U728" s="8">
        <f>IF(F728&lt;5000,"Bajo",IF(F728&lt;15000,"Medio","Alto"))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TRIM(CLEAN(PROPER(D729)))</f>
        <v/>
      </c>
      <c r="Q729">
        <f>PROPER(TRIM(SUBSTITUTE(SUBSTITUTE(SUBSTITUTE(SUBSTITUTE(E729,"TRESEMME","Tresemme"),"HEAD &amp; SHOULDERS","Head &amp; Shoulders"),"ELVIVE","Elvive"),"FRUCTIS","Fructis")))</f>
        <v/>
      </c>
      <c r="R729">
        <f>COUNTIF($D$2:$D$10000,D729)&gt;1</f>
        <v/>
      </c>
      <c r="S729">
        <f>IF(H729=TRUE,"Disponible","No disponible")</f>
        <v/>
      </c>
      <c r="T729">
        <f>IF(AND(ISNUMBER(I729),I729&gt;0),ROUND(F729/I729,2),"Sin volumen")</f>
        <v/>
      </c>
      <c r="U729">
        <f>IF(F729&lt;5000,"Bajo",IF(F729&lt;15000,"Medio","Alto"))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TRIM(CLEAN(PROPER(D730)))</f>
        <v/>
      </c>
      <c r="Q730" s="8">
        <f>PROPER(TRIM(SUBSTITUTE(SUBSTITUTE(SUBSTITUTE(SUBSTITUTE(E730,"TRESEMME","Tresemme"),"HEAD &amp; SHOULDERS","Head &amp; Shoulders"),"ELVIVE","Elvive"),"FRUCTIS","Fructis")))</f>
        <v/>
      </c>
      <c r="R730" s="8">
        <f>COUNTIF($D$2:$D$10000,D730)&gt;1</f>
        <v/>
      </c>
      <c r="S730" s="8">
        <f>IF(H730=TRUE,"Disponible","No disponible")</f>
        <v/>
      </c>
      <c r="T730" s="8">
        <f>IF(AND(ISNUMBER(I730),I730&gt;0),ROUND(F730/I730,2),"Sin volumen")</f>
        <v/>
      </c>
      <c r="U730" s="8">
        <f>IF(F730&lt;5000,"Bajo",IF(F730&lt;15000,"Medio","Alto"))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TRIM(CLEAN(PROPER(D731)))</f>
        <v/>
      </c>
      <c r="Q731">
        <f>PROPER(TRIM(SUBSTITUTE(SUBSTITUTE(SUBSTITUTE(SUBSTITUTE(E731,"TRESEMME","Tresemme"),"HEAD &amp; SHOULDERS","Head &amp; Shoulders"),"ELVIVE","Elvive"),"FRUCTIS","Fructis")))</f>
        <v/>
      </c>
      <c r="R731">
        <f>COUNTIF($D$2:$D$10000,D731)&gt;1</f>
        <v/>
      </c>
      <c r="S731">
        <f>IF(H731=TRUE,"Disponible","No disponible")</f>
        <v/>
      </c>
      <c r="T731">
        <f>IF(AND(ISNUMBER(I731),I731&gt;0),ROUND(F731/I731,2),"Sin volumen")</f>
        <v/>
      </c>
      <c r="U731">
        <f>IF(F731&lt;5000,"Bajo",IF(F731&lt;15000,"Medio","Alto"))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TRIM(CLEAN(PROPER(D732)))</f>
        <v/>
      </c>
      <c r="Q732" s="8">
        <f>PROPER(TRIM(SUBSTITUTE(SUBSTITUTE(SUBSTITUTE(SUBSTITUTE(E732,"TRESEMME","Tresemme"),"HEAD &amp; SHOULDERS","Head &amp; Shoulders"),"ELVIVE","Elvive"),"FRUCTIS","Fructis")))</f>
        <v/>
      </c>
      <c r="R732" s="8">
        <f>COUNTIF($D$2:$D$10000,D732)&gt;1</f>
        <v/>
      </c>
      <c r="S732" s="8">
        <f>IF(H732=TRUE,"Disponible","No disponible")</f>
        <v/>
      </c>
      <c r="T732" s="8">
        <f>IF(AND(ISNUMBER(I732),I732&gt;0),ROUND(F732/I732,2),"Sin volumen")</f>
        <v/>
      </c>
      <c r="U732" s="8">
        <f>IF(F732&lt;5000,"Bajo",IF(F732&lt;15000,"Medio","Alto"))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TRIM(CLEAN(PROPER(D733)))</f>
        <v/>
      </c>
      <c r="Q733">
        <f>PROPER(TRIM(SUBSTITUTE(SUBSTITUTE(SUBSTITUTE(SUBSTITUTE(E733,"TRESEMME","Tresemme"),"HEAD &amp; SHOULDERS","Head &amp; Shoulders"),"ELVIVE","Elvive"),"FRUCTIS","Fructis")))</f>
        <v/>
      </c>
      <c r="R733">
        <f>COUNTIF($D$2:$D$10000,D733)&gt;1</f>
        <v/>
      </c>
      <c r="S733">
        <f>IF(H733=TRUE,"Disponible","No disponible")</f>
        <v/>
      </c>
      <c r="T733">
        <f>IF(AND(ISNUMBER(I733),I733&gt;0),ROUND(F733/I733,2),"Sin volumen")</f>
        <v/>
      </c>
      <c r="U733">
        <f>IF(F733&lt;5000,"Bajo",IF(F733&lt;15000,"Medio","Alto"))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TRIM(CLEAN(PROPER(D734)))</f>
        <v/>
      </c>
      <c r="Q734" s="8">
        <f>PROPER(TRIM(SUBSTITUTE(SUBSTITUTE(SUBSTITUTE(SUBSTITUTE(E734,"TRESEMME","Tresemme"),"HEAD &amp; SHOULDERS","Head &amp; Shoulders"),"ELVIVE","Elvive"),"FRUCTIS","Fructis")))</f>
        <v/>
      </c>
      <c r="R734" s="8">
        <f>COUNTIF($D$2:$D$10000,D734)&gt;1</f>
        <v/>
      </c>
      <c r="S734" s="8">
        <f>IF(H734=TRUE,"Disponible","No disponible")</f>
        <v/>
      </c>
      <c r="T734" s="8">
        <f>IF(AND(ISNUMBER(I734),I734&gt;0),ROUND(F734/I734,2),"Sin volumen")</f>
        <v/>
      </c>
      <c r="U734" s="8">
        <f>IF(F734&lt;5000,"Bajo",IF(F734&lt;15000,"Medio","Alto"))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TRIM(CLEAN(PROPER(D735)))</f>
        <v/>
      </c>
      <c r="Q735">
        <f>PROPER(TRIM(SUBSTITUTE(SUBSTITUTE(SUBSTITUTE(SUBSTITUTE(E735,"TRESEMME","Tresemme"),"HEAD &amp; SHOULDERS","Head &amp; Shoulders"),"ELVIVE","Elvive"),"FRUCTIS","Fructis")))</f>
        <v/>
      </c>
      <c r="R735">
        <f>COUNTIF($D$2:$D$10000,D735)&gt;1</f>
        <v/>
      </c>
      <c r="S735">
        <f>IF(H735=TRUE,"Disponible","No disponible")</f>
        <v/>
      </c>
      <c r="T735">
        <f>IF(AND(ISNUMBER(I735),I735&gt;0),ROUND(F735/I735,2),"Sin volumen")</f>
        <v/>
      </c>
      <c r="U735">
        <f>IF(F735&lt;5000,"Bajo",IF(F735&lt;15000,"Medio","Alto"))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TRIM(CLEAN(PROPER(D736)))</f>
        <v/>
      </c>
      <c r="Q736" s="8">
        <f>PROPER(TRIM(SUBSTITUTE(SUBSTITUTE(SUBSTITUTE(SUBSTITUTE(E736,"TRESEMME","Tresemme"),"HEAD &amp; SHOULDERS","Head &amp; Shoulders"),"ELVIVE","Elvive"),"FRUCTIS","Fructis")))</f>
        <v/>
      </c>
      <c r="R736" s="8">
        <f>COUNTIF($D$2:$D$10000,D736)&gt;1</f>
        <v/>
      </c>
      <c r="S736" s="8">
        <f>IF(H736=TRUE,"Disponible","No disponible")</f>
        <v/>
      </c>
      <c r="T736" s="8">
        <f>IF(AND(ISNUMBER(I736),I736&gt;0),ROUND(F736/I736,2),"Sin volumen")</f>
        <v/>
      </c>
      <c r="U736" s="8">
        <f>IF(F736&lt;5000,"Bajo",IF(F736&lt;15000,"Medio","Alto"))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TRIM(CLEAN(PROPER(D737)))</f>
        <v/>
      </c>
      <c r="Q737">
        <f>PROPER(TRIM(SUBSTITUTE(SUBSTITUTE(SUBSTITUTE(SUBSTITUTE(E737,"TRESEMME","Tresemme"),"HEAD &amp; SHOULDERS","Head &amp; Shoulders"),"ELVIVE","Elvive"),"FRUCTIS","Fructis")))</f>
        <v/>
      </c>
      <c r="R737">
        <f>COUNTIF($D$2:$D$10000,D737)&gt;1</f>
        <v/>
      </c>
      <c r="S737">
        <f>IF(H737=TRUE,"Disponible","No disponible")</f>
        <v/>
      </c>
      <c r="T737">
        <f>IF(AND(ISNUMBER(I737),I737&gt;0),ROUND(F737/I737,2),"Sin volumen")</f>
        <v/>
      </c>
      <c r="U737">
        <f>IF(F737&lt;5000,"Bajo",IF(F737&lt;15000,"Medio","Alto"))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TRIM(CLEAN(PROPER(D738)))</f>
        <v/>
      </c>
      <c r="Q738" s="8">
        <f>PROPER(TRIM(SUBSTITUTE(SUBSTITUTE(SUBSTITUTE(SUBSTITUTE(E738,"TRESEMME","Tresemme"),"HEAD &amp; SHOULDERS","Head &amp; Shoulders"),"ELVIVE","Elvive"),"FRUCTIS","Fructis")))</f>
        <v/>
      </c>
      <c r="R738" s="8">
        <f>COUNTIF($D$2:$D$10000,D738)&gt;1</f>
        <v/>
      </c>
      <c r="S738" s="8">
        <f>IF(H738=TRUE,"Disponible","No disponible")</f>
        <v/>
      </c>
      <c r="T738" s="8">
        <f>IF(AND(ISNUMBER(I738),I738&gt;0),ROUND(F738/I738,2),"Sin volumen")</f>
        <v/>
      </c>
      <c r="U738" s="8">
        <f>IF(F738&lt;5000,"Bajo",IF(F738&lt;15000,"Medio","Alto"))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TRIM(CLEAN(PROPER(D739)))</f>
        <v/>
      </c>
      <c r="Q739">
        <f>PROPER(TRIM(SUBSTITUTE(SUBSTITUTE(SUBSTITUTE(SUBSTITUTE(E739,"TRESEMME","Tresemme"),"HEAD &amp; SHOULDERS","Head &amp; Shoulders"),"ELVIVE","Elvive"),"FRUCTIS","Fructis")))</f>
        <v/>
      </c>
      <c r="R739">
        <f>COUNTIF($D$2:$D$10000,D739)&gt;1</f>
        <v/>
      </c>
      <c r="S739">
        <f>IF(H739=TRUE,"Disponible","No disponible")</f>
        <v/>
      </c>
      <c r="T739">
        <f>IF(AND(ISNUMBER(I739),I739&gt;0),ROUND(F739/I739,2),"Sin volumen")</f>
        <v/>
      </c>
      <c r="U739">
        <f>IF(F739&lt;5000,"Bajo",IF(F739&lt;15000,"Medio","Alto"))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TRIM(CLEAN(PROPER(D740)))</f>
        <v/>
      </c>
      <c r="Q740" s="8">
        <f>PROPER(TRIM(SUBSTITUTE(SUBSTITUTE(SUBSTITUTE(SUBSTITUTE(E740,"TRESEMME","Tresemme"),"HEAD &amp; SHOULDERS","Head &amp; Shoulders"),"ELVIVE","Elvive"),"FRUCTIS","Fructis")))</f>
        <v/>
      </c>
      <c r="R740" s="8">
        <f>COUNTIF($D$2:$D$10000,D740)&gt;1</f>
        <v/>
      </c>
      <c r="S740" s="8">
        <f>IF(H740=TRUE,"Disponible","No disponible")</f>
        <v/>
      </c>
      <c r="T740" s="8">
        <f>IF(AND(ISNUMBER(I740),I740&gt;0),ROUND(F740/I740,2),"Sin volumen")</f>
        <v/>
      </c>
      <c r="U740" s="8">
        <f>IF(F740&lt;5000,"Bajo",IF(F740&lt;15000,"Medio","Alto"))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TRIM(CLEAN(PROPER(D741)))</f>
        <v/>
      </c>
      <c r="Q741">
        <f>PROPER(TRIM(SUBSTITUTE(SUBSTITUTE(SUBSTITUTE(SUBSTITUTE(E741,"TRESEMME","Tresemme"),"HEAD &amp; SHOULDERS","Head &amp; Shoulders"),"ELVIVE","Elvive"),"FRUCTIS","Fructis")))</f>
        <v/>
      </c>
      <c r="R741">
        <f>COUNTIF($D$2:$D$10000,D741)&gt;1</f>
        <v/>
      </c>
      <c r="S741">
        <f>IF(H741=TRUE,"Disponible","No disponible")</f>
        <v/>
      </c>
      <c r="T741">
        <f>IF(AND(ISNUMBER(I741),I741&gt;0),ROUND(F741/I741,2),"Sin volumen")</f>
        <v/>
      </c>
      <c r="U741">
        <f>IF(F741&lt;5000,"Bajo",IF(F741&lt;15000,"Medio","Alto"))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TRIM(CLEAN(PROPER(D742)))</f>
        <v/>
      </c>
      <c r="Q742" s="8">
        <f>PROPER(TRIM(SUBSTITUTE(SUBSTITUTE(SUBSTITUTE(SUBSTITUTE(E742,"TRESEMME","Tresemme"),"HEAD &amp; SHOULDERS","Head &amp; Shoulders"),"ELVIVE","Elvive"),"FRUCTIS","Fructis")))</f>
        <v/>
      </c>
      <c r="R742" s="8">
        <f>COUNTIF($D$2:$D$10000,D742)&gt;1</f>
        <v/>
      </c>
      <c r="S742" s="8">
        <f>IF(H742=TRUE,"Disponible","No disponible")</f>
        <v/>
      </c>
      <c r="T742" s="8">
        <f>IF(AND(ISNUMBER(I742),I742&gt;0),ROUND(F742/I742,2),"Sin volumen")</f>
        <v/>
      </c>
      <c r="U742" s="8">
        <f>IF(F742&lt;5000,"Bajo",IF(F742&lt;15000,"Medio","Alto"))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TRIM(CLEAN(PROPER(D743)))</f>
        <v/>
      </c>
      <c r="Q743">
        <f>PROPER(TRIM(SUBSTITUTE(SUBSTITUTE(SUBSTITUTE(SUBSTITUTE(E743,"TRESEMME","Tresemme"),"HEAD &amp; SHOULDERS","Head &amp; Shoulders"),"ELVIVE","Elvive"),"FRUCTIS","Fructis")))</f>
        <v/>
      </c>
      <c r="R743">
        <f>COUNTIF($D$2:$D$10000,D743)&gt;1</f>
        <v/>
      </c>
      <c r="S743">
        <f>IF(H743=TRUE,"Disponible","No disponible")</f>
        <v/>
      </c>
      <c r="T743">
        <f>IF(AND(ISNUMBER(I743),I743&gt;0),ROUND(F743/I743,2),"Sin volumen")</f>
        <v/>
      </c>
      <c r="U743">
        <f>IF(F743&lt;5000,"Bajo",IF(F743&lt;15000,"Medio","Alto"))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TRIM(CLEAN(PROPER(D744)))</f>
        <v/>
      </c>
      <c r="Q744" s="8">
        <f>PROPER(TRIM(SUBSTITUTE(SUBSTITUTE(SUBSTITUTE(SUBSTITUTE(E744,"TRESEMME","Tresemme"),"HEAD &amp; SHOULDERS","Head &amp; Shoulders"),"ELVIVE","Elvive"),"FRUCTIS","Fructis")))</f>
        <v/>
      </c>
      <c r="R744" s="8">
        <f>COUNTIF($D$2:$D$10000,D744)&gt;1</f>
        <v/>
      </c>
      <c r="S744" s="8">
        <f>IF(H744=TRUE,"Disponible","No disponible")</f>
        <v/>
      </c>
      <c r="T744" s="8">
        <f>IF(AND(ISNUMBER(I744),I744&gt;0),ROUND(F744/I744,2),"Sin volumen")</f>
        <v/>
      </c>
      <c r="U744" s="8">
        <f>IF(F744&lt;5000,"Bajo",IF(F744&lt;15000,"Medio","Alto"))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TRIM(CLEAN(PROPER(D745)))</f>
        <v/>
      </c>
      <c r="Q745">
        <f>PROPER(TRIM(SUBSTITUTE(SUBSTITUTE(SUBSTITUTE(SUBSTITUTE(E745,"TRESEMME","Tresemme"),"HEAD &amp; SHOULDERS","Head &amp; Shoulders"),"ELVIVE","Elvive"),"FRUCTIS","Fructis")))</f>
        <v/>
      </c>
      <c r="R745">
        <f>COUNTIF($D$2:$D$10000,D745)&gt;1</f>
        <v/>
      </c>
      <c r="S745">
        <f>IF(H745=TRUE,"Disponible","No disponible")</f>
        <v/>
      </c>
      <c r="T745">
        <f>IF(AND(ISNUMBER(I745),I745&gt;0),ROUND(F745/I745,2),"Sin volumen")</f>
        <v/>
      </c>
      <c r="U745">
        <f>IF(F745&lt;5000,"Bajo",IF(F745&lt;15000,"Medio","Alto"))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TRIM(CLEAN(PROPER(D746)))</f>
        <v/>
      </c>
      <c r="Q746" s="8">
        <f>PROPER(TRIM(SUBSTITUTE(SUBSTITUTE(SUBSTITUTE(SUBSTITUTE(E746,"TRESEMME","Tresemme"),"HEAD &amp; SHOULDERS","Head &amp; Shoulders"),"ELVIVE","Elvive"),"FRUCTIS","Fructis")))</f>
        <v/>
      </c>
      <c r="R746" s="8">
        <f>COUNTIF($D$2:$D$10000,D746)&gt;1</f>
        <v/>
      </c>
      <c r="S746" s="8">
        <f>IF(H746=TRUE,"Disponible","No disponible")</f>
        <v/>
      </c>
      <c r="T746" s="8">
        <f>IF(AND(ISNUMBER(I746),I746&gt;0),ROUND(F746/I746,2),"Sin volumen")</f>
        <v/>
      </c>
      <c r="U746" s="8">
        <f>IF(F746&lt;5000,"Bajo",IF(F746&lt;15000,"Medio","Alto"))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TRIM(CLEAN(PROPER(D747)))</f>
        <v/>
      </c>
      <c r="Q747">
        <f>PROPER(TRIM(SUBSTITUTE(SUBSTITUTE(SUBSTITUTE(SUBSTITUTE(E747,"TRESEMME","Tresemme"),"HEAD &amp; SHOULDERS","Head &amp; Shoulders"),"ELVIVE","Elvive"),"FRUCTIS","Fructis")))</f>
        <v/>
      </c>
      <c r="R747">
        <f>COUNTIF($D$2:$D$10000,D747)&gt;1</f>
        <v/>
      </c>
      <c r="S747">
        <f>IF(H747=TRUE,"Disponible","No disponible")</f>
        <v/>
      </c>
      <c r="T747">
        <f>IF(AND(ISNUMBER(I747),I747&gt;0),ROUND(F747/I747,2),"Sin volumen")</f>
        <v/>
      </c>
      <c r="U747">
        <f>IF(F747&lt;5000,"Bajo",IF(F747&lt;15000,"Medio","Alto"))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TRIM(CLEAN(PROPER(D748)))</f>
        <v/>
      </c>
      <c r="Q748" s="8">
        <f>PROPER(TRIM(SUBSTITUTE(SUBSTITUTE(SUBSTITUTE(SUBSTITUTE(E748,"TRESEMME","Tresemme"),"HEAD &amp; SHOULDERS","Head &amp; Shoulders"),"ELVIVE","Elvive"),"FRUCTIS","Fructis")))</f>
        <v/>
      </c>
      <c r="R748" s="8">
        <f>COUNTIF($D$2:$D$10000,D748)&gt;1</f>
        <v/>
      </c>
      <c r="S748" s="8">
        <f>IF(H748=TRUE,"Disponible","No disponible")</f>
        <v/>
      </c>
      <c r="T748" s="8">
        <f>IF(AND(ISNUMBER(I748),I748&gt;0),ROUND(F748/I748,2),"Sin volumen")</f>
        <v/>
      </c>
      <c r="U748" s="8">
        <f>IF(F748&lt;5000,"Bajo",IF(F748&lt;15000,"Medio","Alto"))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TRIM(CLEAN(PROPER(D749)))</f>
        <v/>
      </c>
      <c r="Q749">
        <f>PROPER(TRIM(SUBSTITUTE(SUBSTITUTE(SUBSTITUTE(SUBSTITUTE(E749,"TRESEMME","Tresemme"),"HEAD &amp; SHOULDERS","Head &amp; Shoulders"),"ELVIVE","Elvive"),"FRUCTIS","Fructis")))</f>
        <v/>
      </c>
      <c r="R749">
        <f>COUNTIF($D$2:$D$10000,D749)&gt;1</f>
        <v/>
      </c>
      <c r="S749">
        <f>IF(H749=TRUE,"Disponible","No disponible")</f>
        <v/>
      </c>
      <c r="T749">
        <f>IF(AND(ISNUMBER(I749),I749&gt;0),ROUND(F749/I749,2),"Sin volumen")</f>
        <v/>
      </c>
      <c r="U749">
        <f>IF(F749&lt;5000,"Bajo",IF(F749&lt;15000,"Medio","Alto"))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TRIM(CLEAN(PROPER(D750)))</f>
        <v/>
      </c>
      <c r="Q750" s="8">
        <f>PROPER(TRIM(SUBSTITUTE(SUBSTITUTE(SUBSTITUTE(SUBSTITUTE(E750,"TRESEMME","Tresemme"),"HEAD &amp; SHOULDERS","Head &amp; Shoulders"),"ELVIVE","Elvive"),"FRUCTIS","Fructis")))</f>
        <v/>
      </c>
      <c r="R750" s="8">
        <f>COUNTIF($D$2:$D$10000,D750)&gt;1</f>
        <v/>
      </c>
      <c r="S750" s="8">
        <f>IF(H750=TRUE,"Disponible","No disponible")</f>
        <v/>
      </c>
      <c r="T750" s="8">
        <f>IF(AND(ISNUMBER(I750),I750&gt;0),ROUND(F750/I750,2),"Sin volumen")</f>
        <v/>
      </c>
      <c r="U750" s="8">
        <f>IF(F750&lt;5000,"Bajo",IF(F750&lt;15000,"Medio","Alto"))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TRIM(CLEAN(PROPER(D751)))</f>
        <v/>
      </c>
      <c r="Q751">
        <f>PROPER(TRIM(SUBSTITUTE(SUBSTITUTE(SUBSTITUTE(SUBSTITUTE(E751,"TRESEMME","Tresemme"),"HEAD &amp; SHOULDERS","Head &amp; Shoulders"),"ELVIVE","Elvive"),"FRUCTIS","Fructis")))</f>
        <v/>
      </c>
      <c r="R751">
        <f>COUNTIF($D$2:$D$10000,D751)&gt;1</f>
        <v/>
      </c>
      <c r="S751">
        <f>IF(H751=TRUE,"Disponible","No disponible")</f>
        <v/>
      </c>
      <c r="T751">
        <f>IF(AND(ISNUMBER(I751),I751&gt;0),ROUND(F751/I751,2),"Sin volumen")</f>
        <v/>
      </c>
      <c r="U751">
        <f>IF(F751&lt;5000,"Bajo",IF(F751&lt;15000,"Medio","Alto"))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TRIM(CLEAN(PROPER(D752)))</f>
        <v/>
      </c>
      <c r="Q752" s="8">
        <f>PROPER(TRIM(SUBSTITUTE(SUBSTITUTE(SUBSTITUTE(SUBSTITUTE(E752,"TRESEMME","Tresemme"),"HEAD &amp; SHOULDERS","Head &amp; Shoulders"),"ELVIVE","Elvive"),"FRUCTIS","Fructis")))</f>
        <v/>
      </c>
      <c r="R752" s="8">
        <f>COUNTIF($D$2:$D$10000,D752)&gt;1</f>
        <v/>
      </c>
      <c r="S752" s="8">
        <f>IF(H752=TRUE,"Disponible","No disponible")</f>
        <v/>
      </c>
      <c r="T752" s="8">
        <f>IF(AND(ISNUMBER(I752),I752&gt;0),ROUND(F752/I752,2),"Sin volumen")</f>
        <v/>
      </c>
      <c r="U752" s="8">
        <f>IF(F752&lt;5000,"Bajo",IF(F752&lt;15000,"Medio","Alto"))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TRIM(CLEAN(PROPER(D753)))</f>
        <v/>
      </c>
      <c r="Q753">
        <f>PROPER(TRIM(SUBSTITUTE(SUBSTITUTE(SUBSTITUTE(SUBSTITUTE(E753,"TRESEMME","Tresemme"),"HEAD &amp; SHOULDERS","Head &amp; Shoulders"),"ELVIVE","Elvive"),"FRUCTIS","Fructis")))</f>
        <v/>
      </c>
      <c r="R753">
        <f>COUNTIF($D$2:$D$10000,D753)&gt;1</f>
        <v/>
      </c>
      <c r="S753">
        <f>IF(H753=TRUE,"Disponible","No disponible")</f>
        <v/>
      </c>
      <c r="T753">
        <f>IF(AND(ISNUMBER(I753),I753&gt;0),ROUND(F753/I753,2),"Sin volumen")</f>
        <v/>
      </c>
      <c r="U753">
        <f>IF(F753&lt;5000,"Bajo",IF(F753&lt;15000,"Medio","Alto"))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TRIM(CLEAN(PROPER(D754)))</f>
        <v/>
      </c>
      <c r="Q754" s="8">
        <f>PROPER(TRIM(SUBSTITUTE(SUBSTITUTE(SUBSTITUTE(SUBSTITUTE(E754,"TRESEMME","Tresemme"),"HEAD &amp; SHOULDERS","Head &amp; Shoulders"),"ELVIVE","Elvive"),"FRUCTIS","Fructis")))</f>
        <v/>
      </c>
      <c r="R754" s="8">
        <f>COUNTIF($D$2:$D$10000,D754)&gt;1</f>
        <v/>
      </c>
      <c r="S754" s="8">
        <f>IF(H754=TRUE,"Disponible","No disponible")</f>
        <v/>
      </c>
      <c r="T754" s="8">
        <f>IF(AND(ISNUMBER(I754),I754&gt;0),ROUND(F754/I754,2),"Sin volumen")</f>
        <v/>
      </c>
      <c r="U754" s="8">
        <f>IF(F754&lt;5000,"Bajo",IF(F754&lt;15000,"Medio","Alto"))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TRIM(CLEAN(PROPER(D755)))</f>
        <v/>
      </c>
      <c r="Q755">
        <f>PROPER(TRIM(SUBSTITUTE(SUBSTITUTE(SUBSTITUTE(SUBSTITUTE(E755,"TRESEMME","Tresemme"),"HEAD &amp; SHOULDERS","Head &amp; Shoulders"),"ELVIVE","Elvive"),"FRUCTIS","Fructis")))</f>
        <v/>
      </c>
      <c r="R755">
        <f>COUNTIF($D$2:$D$10000,D755)&gt;1</f>
        <v/>
      </c>
      <c r="S755">
        <f>IF(H755=TRUE,"Disponible","No disponible")</f>
        <v/>
      </c>
      <c r="T755">
        <f>IF(AND(ISNUMBER(I755),I755&gt;0),ROUND(F755/I755,2),"Sin volumen")</f>
        <v/>
      </c>
      <c r="U755">
        <f>IF(F755&lt;5000,"Bajo",IF(F755&lt;15000,"Medio","Alto"))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TRIM(CLEAN(PROPER(D756)))</f>
        <v/>
      </c>
      <c r="Q756" s="8">
        <f>PROPER(TRIM(SUBSTITUTE(SUBSTITUTE(SUBSTITUTE(SUBSTITUTE(E756,"TRESEMME","Tresemme"),"HEAD &amp; SHOULDERS","Head &amp; Shoulders"),"ELVIVE","Elvive"),"FRUCTIS","Fructis")))</f>
        <v/>
      </c>
      <c r="R756" s="8">
        <f>COUNTIF($D$2:$D$10000,D756)&gt;1</f>
        <v/>
      </c>
      <c r="S756" s="8">
        <f>IF(H756=TRUE,"Disponible","No disponible")</f>
        <v/>
      </c>
      <c r="T756" s="8">
        <f>IF(AND(ISNUMBER(I756),I756&gt;0),ROUND(F756/I756,2),"Sin volumen")</f>
        <v/>
      </c>
      <c r="U756" s="8">
        <f>IF(F756&lt;5000,"Bajo",IF(F756&lt;15000,"Medio","Alto"))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TRIM(CLEAN(PROPER(D757)))</f>
        <v/>
      </c>
      <c r="Q757">
        <f>PROPER(TRIM(SUBSTITUTE(SUBSTITUTE(SUBSTITUTE(SUBSTITUTE(E757,"TRESEMME","Tresemme"),"HEAD &amp; SHOULDERS","Head &amp; Shoulders"),"ELVIVE","Elvive"),"FRUCTIS","Fructis")))</f>
        <v/>
      </c>
      <c r="R757">
        <f>COUNTIF($D$2:$D$10000,D757)&gt;1</f>
        <v/>
      </c>
      <c r="S757">
        <f>IF(H757=TRUE,"Disponible","No disponible")</f>
        <v/>
      </c>
      <c r="T757">
        <f>IF(AND(ISNUMBER(I757),I757&gt;0),ROUND(F757/I757,2),"Sin volumen")</f>
        <v/>
      </c>
      <c r="U757">
        <f>IF(F757&lt;5000,"Bajo",IF(F757&lt;15000,"Medio","Alto"))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TRIM(CLEAN(PROPER(D758)))</f>
        <v/>
      </c>
      <c r="Q758" s="8">
        <f>PROPER(TRIM(SUBSTITUTE(SUBSTITUTE(SUBSTITUTE(SUBSTITUTE(E758,"TRESEMME","Tresemme"),"HEAD &amp; SHOULDERS","Head &amp; Shoulders"),"ELVIVE","Elvive"),"FRUCTIS","Fructis")))</f>
        <v/>
      </c>
      <c r="R758" s="8">
        <f>COUNTIF($D$2:$D$10000,D758)&gt;1</f>
        <v/>
      </c>
      <c r="S758" s="8">
        <f>IF(H758=TRUE,"Disponible","No disponible")</f>
        <v/>
      </c>
      <c r="T758" s="8">
        <f>IF(AND(ISNUMBER(I758),I758&gt;0),ROUND(F758/I758,2),"Sin volumen")</f>
        <v/>
      </c>
      <c r="U758" s="8">
        <f>IF(F758&lt;5000,"Bajo",IF(F758&lt;15000,"Medio","Alto"))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TRIM(CLEAN(PROPER(D759)))</f>
        <v/>
      </c>
      <c r="Q759">
        <f>PROPER(TRIM(SUBSTITUTE(SUBSTITUTE(SUBSTITUTE(SUBSTITUTE(E759,"TRESEMME","Tresemme"),"HEAD &amp; SHOULDERS","Head &amp; Shoulders"),"ELVIVE","Elvive"),"FRUCTIS","Fructis")))</f>
        <v/>
      </c>
      <c r="R759">
        <f>COUNTIF($D$2:$D$10000,D759)&gt;1</f>
        <v/>
      </c>
      <c r="S759">
        <f>IF(H759=TRUE,"Disponible","No disponible")</f>
        <v/>
      </c>
      <c r="T759">
        <f>IF(AND(ISNUMBER(I759),I759&gt;0),ROUND(F759/I759,2),"Sin volumen")</f>
        <v/>
      </c>
      <c r="U759">
        <f>IF(F759&lt;5000,"Bajo",IF(F759&lt;15000,"Medio","Alto"))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TRIM(CLEAN(PROPER(D760)))</f>
        <v/>
      </c>
      <c r="Q760" s="8">
        <f>PROPER(TRIM(SUBSTITUTE(SUBSTITUTE(SUBSTITUTE(SUBSTITUTE(E760,"TRESEMME","Tresemme"),"HEAD &amp; SHOULDERS","Head &amp; Shoulders"),"ELVIVE","Elvive"),"FRUCTIS","Fructis")))</f>
        <v/>
      </c>
      <c r="R760" s="8">
        <f>COUNTIF($D$2:$D$10000,D760)&gt;1</f>
        <v/>
      </c>
      <c r="S760" s="8">
        <f>IF(H760=TRUE,"Disponible","No disponible")</f>
        <v/>
      </c>
      <c r="T760" s="8">
        <f>IF(AND(ISNUMBER(I760),I760&gt;0),ROUND(F760/I760,2),"Sin volumen")</f>
        <v/>
      </c>
      <c r="U760" s="8">
        <f>IF(F760&lt;5000,"Bajo",IF(F760&lt;15000,"Medio","Alto"))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TRIM(CLEAN(PROPER(D761)))</f>
        <v/>
      </c>
      <c r="Q761">
        <f>PROPER(TRIM(SUBSTITUTE(SUBSTITUTE(SUBSTITUTE(SUBSTITUTE(E761,"TRESEMME","Tresemme"),"HEAD &amp; SHOULDERS","Head &amp; Shoulders"),"ELVIVE","Elvive"),"FRUCTIS","Fructis")))</f>
        <v/>
      </c>
      <c r="R761">
        <f>COUNTIF($D$2:$D$10000,D761)&gt;1</f>
        <v/>
      </c>
      <c r="S761">
        <f>IF(H761=TRUE,"Disponible","No disponible")</f>
        <v/>
      </c>
      <c r="T761">
        <f>IF(AND(ISNUMBER(I761),I761&gt;0),ROUND(F761/I761,2),"Sin volumen")</f>
        <v/>
      </c>
      <c r="U761">
        <f>IF(F761&lt;5000,"Bajo",IF(F761&lt;15000,"Medio","Alto"))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TRIM(CLEAN(PROPER(D762)))</f>
        <v/>
      </c>
      <c r="Q762" s="8">
        <f>PROPER(TRIM(SUBSTITUTE(SUBSTITUTE(SUBSTITUTE(SUBSTITUTE(E762,"TRESEMME","Tresemme"),"HEAD &amp; SHOULDERS","Head &amp; Shoulders"),"ELVIVE","Elvive"),"FRUCTIS","Fructis")))</f>
        <v/>
      </c>
      <c r="R762" s="8">
        <f>COUNTIF($D$2:$D$10000,D762)&gt;1</f>
        <v/>
      </c>
      <c r="S762" s="8">
        <f>IF(H762=TRUE,"Disponible","No disponible")</f>
        <v/>
      </c>
      <c r="T762" s="8">
        <f>IF(AND(ISNUMBER(I762),I762&gt;0),ROUND(F762/I762,2),"Sin volumen")</f>
        <v/>
      </c>
      <c r="U762" s="8">
        <f>IF(F762&lt;5000,"Bajo",IF(F762&lt;15000,"Medio","Alto"))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TRIM(CLEAN(PROPER(D763)))</f>
        <v/>
      </c>
      <c r="Q763">
        <f>PROPER(TRIM(SUBSTITUTE(SUBSTITUTE(SUBSTITUTE(SUBSTITUTE(E763,"TRESEMME","Tresemme"),"HEAD &amp; SHOULDERS","Head &amp; Shoulders"),"ELVIVE","Elvive"),"FRUCTIS","Fructis")))</f>
        <v/>
      </c>
      <c r="R763">
        <f>COUNTIF($D$2:$D$10000,D763)&gt;1</f>
        <v/>
      </c>
      <c r="S763">
        <f>IF(H763=TRUE,"Disponible","No disponible")</f>
        <v/>
      </c>
      <c r="T763">
        <f>IF(AND(ISNUMBER(I763),I763&gt;0),ROUND(F763/I763,2),"Sin volumen")</f>
        <v/>
      </c>
      <c r="U763">
        <f>IF(F763&lt;5000,"Bajo",IF(F763&lt;15000,"Medio","Alto"))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TRIM(CLEAN(PROPER(D764)))</f>
        <v/>
      </c>
      <c r="Q764" s="8">
        <f>PROPER(TRIM(SUBSTITUTE(SUBSTITUTE(SUBSTITUTE(SUBSTITUTE(E764,"TRESEMME","Tresemme"),"HEAD &amp; SHOULDERS","Head &amp; Shoulders"),"ELVIVE","Elvive"),"FRUCTIS","Fructis")))</f>
        <v/>
      </c>
      <c r="R764" s="8">
        <f>COUNTIF($D$2:$D$10000,D764)&gt;1</f>
        <v/>
      </c>
      <c r="S764" s="8">
        <f>IF(H764=TRUE,"Disponible","No disponible")</f>
        <v/>
      </c>
      <c r="T764" s="8">
        <f>IF(AND(ISNUMBER(I764),I764&gt;0),ROUND(F764/I764,2),"Sin volumen")</f>
        <v/>
      </c>
      <c r="U764" s="8">
        <f>IF(F764&lt;5000,"Bajo",IF(F764&lt;15000,"Medio","Alto"))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TRIM(CLEAN(PROPER(D765)))</f>
        <v/>
      </c>
      <c r="Q765">
        <f>PROPER(TRIM(SUBSTITUTE(SUBSTITUTE(SUBSTITUTE(SUBSTITUTE(E765,"TRESEMME","Tresemme"),"HEAD &amp; SHOULDERS","Head &amp; Shoulders"),"ELVIVE","Elvive"),"FRUCTIS","Fructis")))</f>
        <v/>
      </c>
      <c r="R765">
        <f>COUNTIF($D$2:$D$10000,D765)&gt;1</f>
        <v/>
      </c>
      <c r="S765">
        <f>IF(H765=TRUE,"Disponible","No disponible")</f>
        <v/>
      </c>
      <c r="T765">
        <f>IF(AND(ISNUMBER(I765),I765&gt;0),ROUND(F765/I765,2),"Sin volumen")</f>
        <v/>
      </c>
      <c r="U765">
        <f>IF(F765&lt;5000,"Bajo",IF(F765&lt;15000,"Medio","Alto"))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TRIM(CLEAN(PROPER(D766)))</f>
        <v/>
      </c>
      <c r="Q766" s="8">
        <f>PROPER(TRIM(SUBSTITUTE(SUBSTITUTE(SUBSTITUTE(SUBSTITUTE(E766,"TRESEMME","Tresemme"),"HEAD &amp; SHOULDERS","Head &amp; Shoulders"),"ELVIVE","Elvive"),"FRUCTIS","Fructis")))</f>
        <v/>
      </c>
      <c r="R766" s="8">
        <f>COUNTIF($D$2:$D$10000,D766)&gt;1</f>
        <v/>
      </c>
      <c r="S766" s="8">
        <f>IF(H766=TRUE,"Disponible","No disponible")</f>
        <v/>
      </c>
      <c r="T766" s="8">
        <f>IF(AND(ISNUMBER(I766),I766&gt;0),ROUND(F766/I766,2),"Sin volumen")</f>
        <v/>
      </c>
      <c r="U766" s="8">
        <f>IF(F766&lt;5000,"Bajo",IF(F766&lt;15000,"Medio","Alto"))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TRIM(CLEAN(PROPER(D767)))</f>
        <v/>
      </c>
      <c r="Q767">
        <f>PROPER(TRIM(SUBSTITUTE(SUBSTITUTE(SUBSTITUTE(SUBSTITUTE(E767,"TRESEMME","Tresemme"),"HEAD &amp; SHOULDERS","Head &amp; Shoulders"),"ELVIVE","Elvive"),"FRUCTIS","Fructis")))</f>
        <v/>
      </c>
      <c r="R767">
        <f>COUNTIF($D$2:$D$10000,D767)&gt;1</f>
        <v/>
      </c>
      <c r="S767">
        <f>IF(H767=TRUE,"Disponible","No disponible")</f>
        <v/>
      </c>
      <c r="T767">
        <f>IF(AND(ISNUMBER(I767),I767&gt;0),ROUND(F767/I767,2),"Sin volumen")</f>
        <v/>
      </c>
      <c r="U767">
        <f>IF(F767&lt;5000,"Bajo",IF(F767&lt;15000,"Medio","Alto"))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TRIM(CLEAN(PROPER(D768)))</f>
        <v/>
      </c>
      <c r="Q768" s="8">
        <f>PROPER(TRIM(SUBSTITUTE(SUBSTITUTE(SUBSTITUTE(SUBSTITUTE(E768,"TRESEMME","Tresemme"),"HEAD &amp; SHOULDERS","Head &amp; Shoulders"),"ELVIVE","Elvive"),"FRUCTIS","Fructis")))</f>
        <v/>
      </c>
      <c r="R768" s="8">
        <f>COUNTIF($D$2:$D$10000,D768)&gt;1</f>
        <v/>
      </c>
      <c r="S768" s="8">
        <f>IF(H768=TRUE,"Disponible","No disponible")</f>
        <v/>
      </c>
      <c r="T768" s="8">
        <f>IF(AND(ISNUMBER(I768),I768&gt;0),ROUND(F768/I768,2),"Sin volumen")</f>
        <v/>
      </c>
      <c r="U768" s="8">
        <f>IF(F768&lt;5000,"Bajo",IF(F768&lt;15000,"Medio","Alto"))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TRIM(CLEAN(PROPER(D769)))</f>
        <v/>
      </c>
      <c r="Q769">
        <f>PROPER(TRIM(SUBSTITUTE(SUBSTITUTE(SUBSTITUTE(SUBSTITUTE(E769,"TRESEMME","Tresemme"),"HEAD &amp; SHOULDERS","Head &amp; Shoulders"),"ELVIVE","Elvive"),"FRUCTIS","Fructis")))</f>
        <v/>
      </c>
      <c r="R769">
        <f>COUNTIF($D$2:$D$10000,D769)&gt;1</f>
        <v/>
      </c>
      <c r="S769">
        <f>IF(H769=TRUE,"Disponible","No disponible")</f>
        <v/>
      </c>
      <c r="T769">
        <f>IF(AND(ISNUMBER(I769),I769&gt;0),ROUND(F769/I769,2),"Sin volumen")</f>
        <v/>
      </c>
      <c r="U769">
        <f>IF(F769&lt;5000,"Bajo",IF(F769&lt;15000,"Medio","Alto"))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TRIM(CLEAN(PROPER(D770)))</f>
        <v/>
      </c>
      <c r="Q770" s="8">
        <f>PROPER(TRIM(SUBSTITUTE(SUBSTITUTE(SUBSTITUTE(SUBSTITUTE(E770,"TRESEMME","Tresemme"),"HEAD &amp; SHOULDERS","Head &amp; Shoulders"),"ELVIVE","Elvive"),"FRUCTIS","Fructis")))</f>
        <v/>
      </c>
      <c r="R770" s="8">
        <f>COUNTIF($D$2:$D$10000,D770)&gt;1</f>
        <v/>
      </c>
      <c r="S770" s="8">
        <f>IF(H770=TRUE,"Disponible","No disponible")</f>
        <v/>
      </c>
      <c r="T770" s="8">
        <f>IF(AND(ISNUMBER(I770),I770&gt;0),ROUND(F770/I770,2),"Sin volumen")</f>
        <v/>
      </c>
      <c r="U770" s="8">
        <f>IF(F770&lt;5000,"Bajo",IF(F770&lt;15000,"Medio","Alto"))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TRIM(CLEAN(PROPER(D771)))</f>
        <v/>
      </c>
      <c r="Q771">
        <f>PROPER(TRIM(SUBSTITUTE(SUBSTITUTE(SUBSTITUTE(SUBSTITUTE(E771,"TRESEMME","Tresemme"),"HEAD &amp; SHOULDERS","Head &amp; Shoulders"),"ELVIVE","Elvive"),"FRUCTIS","Fructis")))</f>
        <v/>
      </c>
      <c r="R771">
        <f>COUNTIF($D$2:$D$10000,D771)&gt;1</f>
        <v/>
      </c>
      <c r="S771">
        <f>IF(H771=TRUE,"Disponible","No disponible")</f>
        <v/>
      </c>
      <c r="T771">
        <f>IF(AND(ISNUMBER(I771),I771&gt;0),ROUND(F771/I771,2),"Sin volumen")</f>
        <v/>
      </c>
      <c r="U771">
        <f>IF(F771&lt;5000,"Bajo",IF(F771&lt;15000,"Medio","Alto"))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TRIM(CLEAN(PROPER(D772)))</f>
        <v/>
      </c>
      <c r="Q772" s="8">
        <f>PROPER(TRIM(SUBSTITUTE(SUBSTITUTE(SUBSTITUTE(SUBSTITUTE(E772,"TRESEMME","Tresemme"),"HEAD &amp; SHOULDERS","Head &amp; Shoulders"),"ELVIVE","Elvive"),"FRUCTIS","Fructis")))</f>
        <v/>
      </c>
      <c r="R772" s="8">
        <f>COUNTIF($D$2:$D$10000,D772)&gt;1</f>
        <v/>
      </c>
      <c r="S772" s="8">
        <f>IF(H772=TRUE,"Disponible","No disponible")</f>
        <v/>
      </c>
      <c r="T772" s="8">
        <f>IF(AND(ISNUMBER(I772),I772&gt;0),ROUND(F772/I772,2),"Sin volumen")</f>
        <v/>
      </c>
      <c r="U772" s="8">
        <f>IF(F772&lt;5000,"Bajo",IF(F772&lt;15000,"Medio","Alto"))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TRIM(CLEAN(PROPER(D773)))</f>
        <v/>
      </c>
      <c r="Q773">
        <f>PROPER(TRIM(SUBSTITUTE(SUBSTITUTE(SUBSTITUTE(SUBSTITUTE(E773,"TRESEMME","Tresemme"),"HEAD &amp; SHOULDERS","Head &amp; Shoulders"),"ELVIVE","Elvive"),"FRUCTIS","Fructis")))</f>
        <v/>
      </c>
      <c r="R773">
        <f>COUNTIF($D$2:$D$10000,D773)&gt;1</f>
        <v/>
      </c>
      <c r="S773">
        <f>IF(H773=TRUE,"Disponible","No disponible")</f>
        <v/>
      </c>
      <c r="T773">
        <f>IF(AND(ISNUMBER(I773),I773&gt;0),ROUND(F773/I773,2),"Sin volumen")</f>
        <v/>
      </c>
      <c r="U773">
        <f>IF(F773&lt;5000,"Bajo",IF(F773&lt;15000,"Medio","Alto"))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TRIM(CLEAN(PROPER(D774)))</f>
        <v/>
      </c>
      <c r="Q774" s="8">
        <f>PROPER(TRIM(SUBSTITUTE(SUBSTITUTE(SUBSTITUTE(SUBSTITUTE(E774,"TRESEMME","Tresemme"),"HEAD &amp; SHOULDERS","Head &amp; Shoulders"),"ELVIVE","Elvive"),"FRUCTIS","Fructis")))</f>
        <v/>
      </c>
      <c r="R774" s="8">
        <f>COUNTIF($D$2:$D$10000,D774)&gt;1</f>
        <v/>
      </c>
      <c r="S774" s="8">
        <f>IF(H774=TRUE,"Disponible","No disponible")</f>
        <v/>
      </c>
      <c r="T774" s="8">
        <f>IF(AND(ISNUMBER(I774),I774&gt;0),ROUND(F774/I774,2),"Sin volumen")</f>
        <v/>
      </c>
      <c r="U774" s="8">
        <f>IF(F774&lt;5000,"Bajo",IF(F774&lt;15000,"Medio","Alto"))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TRIM(CLEAN(PROPER(D775)))</f>
        <v/>
      </c>
      <c r="Q775">
        <f>PROPER(TRIM(SUBSTITUTE(SUBSTITUTE(SUBSTITUTE(SUBSTITUTE(E775,"TRESEMME","Tresemme"),"HEAD &amp; SHOULDERS","Head &amp; Shoulders"),"ELVIVE","Elvive"),"FRUCTIS","Fructis")))</f>
        <v/>
      </c>
      <c r="R775">
        <f>COUNTIF($D$2:$D$10000,D775)&gt;1</f>
        <v/>
      </c>
      <c r="S775">
        <f>IF(H775=TRUE,"Disponible","No disponible")</f>
        <v/>
      </c>
      <c r="T775">
        <f>IF(AND(ISNUMBER(I775),I775&gt;0),ROUND(F775/I775,2),"Sin volumen")</f>
        <v/>
      </c>
      <c r="U775">
        <f>IF(F775&lt;5000,"Bajo",IF(F775&lt;15000,"Medio","Alto"))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TRIM(CLEAN(PROPER(D776)))</f>
        <v/>
      </c>
      <c r="Q776" s="8">
        <f>PROPER(TRIM(SUBSTITUTE(SUBSTITUTE(SUBSTITUTE(SUBSTITUTE(E776,"TRESEMME","Tresemme"),"HEAD &amp; SHOULDERS","Head &amp; Shoulders"),"ELVIVE","Elvive"),"FRUCTIS","Fructis")))</f>
        <v/>
      </c>
      <c r="R776" s="8">
        <f>COUNTIF($D$2:$D$10000,D776)&gt;1</f>
        <v/>
      </c>
      <c r="S776" s="8">
        <f>IF(H776=TRUE,"Disponible","No disponible")</f>
        <v/>
      </c>
      <c r="T776" s="8">
        <f>IF(AND(ISNUMBER(I776),I776&gt;0),ROUND(F776/I776,2),"Sin volumen")</f>
        <v/>
      </c>
      <c r="U776" s="8">
        <f>IF(F776&lt;5000,"Bajo",IF(F776&lt;15000,"Medio","Alto"))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TRIM(CLEAN(PROPER(D777)))</f>
        <v/>
      </c>
      <c r="Q777">
        <f>PROPER(TRIM(SUBSTITUTE(SUBSTITUTE(SUBSTITUTE(SUBSTITUTE(E777,"TRESEMME","Tresemme"),"HEAD &amp; SHOULDERS","Head &amp; Shoulders"),"ELVIVE","Elvive"),"FRUCTIS","Fructis")))</f>
        <v/>
      </c>
      <c r="R777">
        <f>COUNTIF($D$2:$D$10000,D777)&gt;1</f>
        <v/>
      </c>
      <c r="S777">
        <f>IF(H777=TRUE,"Disponible","No disponible")</f>
        <v/>
      </c>
      <c r="T777">
        <f>IF(AND(ISNUMBER(I777),I777&gt;0),ROUND(F777/I777,2),"Sin volumen")</f>
        <v/>
      </c>
      <c r="U777">
        <f>IF(F777&lt;5000,"Bajo",IF(F777&lt;15000,"Medio","Alto"))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TRIM(CLEAN(PROPER(D778)))</f>
        <v/>
      </c>
      <c r="Q778" s="8">
        <f>PROPER(TRIM(SUBSTITUTE(SUBSTITUTE(SUBSTITUTE(SUBSTITUTE(E778,"TRESEMME","Tresemme"),"HEAD &amp; SHOULDERS","Head &amp; Shoulders"),"ELVIVE","Elvive"),"FRUCTIS","Fructis")))</f>
        <v/>
      </c>
      <c r="R778" s="8">
        <f>COUNTIF($D$2:$D$10000,D778)&gt;1</f>
        <v/>
      </c>
      <c r="S778" s="8">
        <f>IF(H778=TRUE,"Disponible","No disponible")</f>
        <v/>
      </c>
      <c r="T778" s="8">
        <f>IF(AND(ISNUMBER(I778),I778&gt;0),ROUND(F778/I778,2),"Sin volumen")</f>
        <v/>
      </c>
      <c r="U778" s="8">
        <f>IF(F778&lt;5000,"Bajo",IF(F778&lt;15000,"Medio","Alto"))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TRIM(CLEAN(PROPER(D779)))</f>
        <v/>
      </c>
      <c r="Q779">
        <f>PROPER(TRIM(SUBSTITUTE(SUBSTITUTE(SUBSTITUTE(SUBSTITUTE(E779,"TRESEMME","Tresemme"),"HEAD &amp; SHOULDERS","Head &amp; Shoulders"),"ELVIVE","Elvive"),"FRUCTIS","Fructis")))</f>
        <v/>
      </c>
      <c r="R779">
        <f>COUNTIF($D$2:$D$10000,D779)&gt;1</f>
        <v/>
      </c>
      <c r="S779">
        <f>IF(H779=TRUE,"Disponible","No disponible")</f>
        <v/>
      </c>
      <c r="T779">
        <f>IF(AND(ISNUMBER(I779),I779&gt;0),ROUND(F779/I779,2),"Sin volumen")</f>
        <v/>
      </c>
      <c r="U779">
        <f>IF(F779&lt;5000,"Bajo",IF(F779&lt;15000,"Medio","Alto"))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TRIM(CLEAN(PROPER(D780)))</f>
        <v/>
      </c>
      <c r="Q780" s="8">
        <f>PROPER(TRIM(SUBSTITUTE(SUBSTITUTE(SUBSTITUTE(SUBSTITUTE(E780,"TRESEMME","Tresemme"),"HEAD &amp; SHOULDERS","Head &amp; Shoulders"),"ELVIVE","Elvive"),"FRUCTIS","Fructis")))</f>
        <v/>
      </c>
      <c r="R780" s="8">
        <f>COUNTIF($D$2:$D$10000,D780)&gt;1</f>
        <v/>
      </c>
      <c r="S780" s="8">
        <f>IF(H780=TRUE,"Disponible","No disponible")</f>
        <v/>
      </c>
      <c r="T780" s="8">
        <f>IF(AND(ISNUMBER(I780),I780&gt;0),ROUND(F780/I780,2),"Sin volumen")</f>
        <v/>
      </c>
      <c r="U780" s="8">
        <f>IF(F780&lt;5000,"Bajo",IF(F780&lt;15000,"Medio","Alto"))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TRIM(CLEAN(PROPER(D781)))</f>
        <v/>
      </c>
      <c r="Q781">
        <f>PROPER(TRIM(SUBSTITUTE(SUBSTITUTE(SUBSTITUTE(SUBSTITUTE(E781,"TRESEMME","Tresemme"),"HEAD &amp; SHOULDERS","Head &amp; Shoulders"),"ELVIVE","Elvive"),"FRUCTIS","Fructis")))</f>
        <v/>
      </c>
      <c r="R781">
        <f>COUNTIF($D$2:$D$10000,D781)&gt;1</f>
        <v/>
      </c>
      <c r="S781">
        <f>IF(H781=TRUE,"Disponible","No disponible")</f>
        <v/>
      </c>
      <c r="T781">
        <f>IF(AND(ISNUMBER(I781),I781&gt;0),ROUND(F781/I781,2),"Sin volumen")</f>
        <v/>
      </c>
      <c r="U781">
        <f>IF(F781&lt;5000,"Bajo",IF(F781&lt;15000,"Medio","Alto"))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TRIM(CLEAN(PROPER(D782)))</f>
        <v/>
      </c>
      <c r="Q782" s="8">
        <f>PROPER(TRIM(SUBSTITUTE(SUBSTITUTE(SUBSTITUTE(SUBSTITUTE(E782,"TRESEMME","Tresemme"),"HEAD &amp; SHOULDERS","Head &amp; Shoulders"),"ELVIVE","Elvive"),"FRUCTIS","Fructis")))</f>
        <v/>
      </c>
      <c r="R782" s="8">
        <f>COUNTIF($D$2:$D$10000,D782)&gt;1</f>
        <v/>
      </c>
      <c r="S782" s="8">
        <f>IF(H782=TRUE,"Disponible","No disponible")</f>
        <v/>
      </c>
      <c r="T782" s="8">
        <f>IF(AND(ISNUMBER(I782),I782&gt;0),ROUND(F782/I782,2),"Sin volumen")</f>
        <v/>
      </c>
      <c r="U782" s="8">
        <f>IF(F782&lt;5000,"Bajo",IF(F782&lt;15000,"Medio","Alto"))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TRIM(CLEAN(PROPER(D783)))</f>
        <v/>
      </c>
      <c r="Q783">
        <f>PROPER(TRIM(SUBSTITUTE(SUBSTITUTE(SUBSTITUTE(SUBSTITUTE(E783,"TRESEMME","Tresemme"),"HEAD &amp; SHOULDERS","Head &amp; Shoulders"),"ELVIVE","Elvive"),"FRUCTIS","Fructis")))</f>
        <v/>
      </c>
      <c r="R783">
        <f>COUNTIF($D$2:$D$10000,D783)&gt;1</f>
        <v/>
      </c>
      <c r="S783">
        <f>IF(H783=TRUE,"Disponible","No disponible")</f>
        <v/>
      </c>
      <c r="T783">
        <f>IF(AND(ISNUMBER(I783),I783&gt;0),ROUND(F783/I783,2),"Sin volumen")</f>
        <v/>
      </c>
      <c r="U783">
        <f>IF(F783&lt;5000,"Bajo",IF(F783&lt;15000,"Medio","Alto"))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TRIM(CLEAN(PROPER(D784)))</f>
        <v/>
      </c>
      <c r="Q784" s="8">
        <f>PROPER(TRIM(SUBSTITUTE(SUBSTITUTE(SUBSTITUTE(SUBSTITUTE(E784,"TRESEMME","Tresemme"),"HEAD &amp; SHOULDERS","Head &amp; Shoulders"),"ELVIVE","Elvive"),"FRUCTIS","Fructis")))</f>
        <v/>
      </c>
      <c r="R784" s="8">
        <f>COUNTIF($D$2:$D$10000,D784)&gt;1</f>
        <v/>
      </c>
      <c r="S784" s="8">
        <f>IF(H784=TRUE,"Disponible","No disponible")</f>
        <v/>
      </c>
      <c r="T784" s="8">
        <f>IF(AND(ISNUMBER(I784),I784&gt;0),ROUND(F784/I784,2),"Sin volumen")</f>
        <v/>
      </c>
      <c r="U784" s="8">
        <f>IF(F784&lt;5000,"Bajo",IF(F784&lt;15000,"Medio","Alto"))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TRIM(CLEAN(PROPER(D785)))</f>
        <v/>
      </c>
      <c r="Q785">
        <f>PROPER(TRIM(SUBSTITUTE(SUBSTITUTE(SUBSTITUTE(SUBSTITUTE(E785,"TRESEMME","Tresemme"),"HEAD &amp; SHOULDERS","Head &amp; Shoulders"),"ELVIVE","Elvive"),"FRUCTIS","Fructis")))</f>
        <v/>
      </c>
      <c r="R785">
        <f>COUNTIF($D$2:$D$10000,D785)&gt;1</f>
        <v/>
      </c>
      <c r="S785">
        <f>IF(H785=TRUE,"Disponible","No disponible")</f>
        <v/>
      </c>
      <c r="T785">
        <f>IF(AND(ISNUMBER(I785),I785&gt;0),ROUND(F785/I785,2),"Sin volumen")</f>
        <v/>
      </c>
      <c r="U785">
        <f>IF(F785&lt;5000,"Bajo",IF(F785&lt;15000,"Medio","Alto"))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TRIM(CLEAN(PROPER(D786)))</f>
        <v/>
      </c>
      <c r="Q786" s="8">
        <f>PROPER(TRIM(SUBSTITUTE(SUBSTITUTE(SUBSTITUTE(SUBSTITUTE(E786,"TRESEMME","Tresemme"),"HEAD &amp; SHOULDERS","Head &amp; Shoulders"),"ELVIVE","Elvive"),"FRUCTIS","Fructis")))</f>
        <v/>
      </c>
      <c r="R786" s="8">
        <f>COUNTIF($D$2:$D$10000,D786)&gt;1</f>
        <v/>
      </c>
      <c r="S786" s="8">
        <f>IF(H786=TRUE,"Disponible","No disponible")</f>
        <v/>
      </c>
      <c r="T786" s="8">
        <f>IF(AND(ISNUMBER(I786),I786&gt;0),ROUND(F786/I786,2),"Sin volumen")</f>
        <v/>
      </c>
      <c r="U786" s="8">
        <f>IF(F786&lt;5000,"Bajo",IF(F786&lt;15000,"Medio","Alto"))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TRIM(CLEAN(PROPER(D787)))</f>
        <v/>
      </c>
      <c r="Q787">
        <f>PROPER(TRIM(SUBSTITUTE(SUBSTITUTE(SUBSTITUTE(SUBSTITUTE(E787,"TRESEMME","Tresemme"),"HEAD &amp; SHOULDERS","Head &amp; Shoulders"),"ELVIVE","Elvive"),"FRUCTIS","Fructis")))</f>
        <v/>
      </c>
      <c r="R787">
        <f>COUNTIF($D$2:$D$10000,D787)&gt;1</f>
        <v/>
      </c>
      <c r="S787">
        <f>IF(H787=TRUE,"Disponible","No disponible")</f>
        <v/>
      </c>
      <c r="T787">
        <f>IF(AND(ISNUMBER(I787),I787&gt;0),ROUND(F787/I787,2),"Sin volumen")</f>
        <v/>
      </c>
      <c r="U787">
        <f>IF(F787&lt;5000,"Bajo",IF(F787&lt;15000,"Medio","Alto"))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TRIM(CLEAN(PROPER(D788)))</f>
        <v/>
      </c>
      <c r="Q788" s="8">
        <f>PROPER(TRIM(SUBSTITUTE(SUBSTITUTE(SUBSTITUTE(SUBSTITUTE(E788,"TRESEMME","Tresemme"),"HEAD &amp; SHOULDERS","Head &amp; Shoulders"),"ELVIVE","Elvive"),"FRUCTIS","Fructis")))</f>
        <v/>
      </c>
      <c r="R788" s="8">
        <f>COUNTIF($D$2:$D$10000,D788)&gt;1</f>
        <v/>
      </c>
      <c r="S788" s="8">
        <f>IF(H788=TRUE,"Disponible","No disponible")</f>
        <v/>
      </c>
      <c r="T788" s="8">
        <f>IF(AND(ISNUMBER(I788),I788&gt;0),ROUND(F788/I788,2),"Sin volumen")</f>
        <v/>
      </c>
      <c r="U788" s="8">
        <f>IF(F788&lt;5000,"Bajo",IF(F788&lt;15000,"Medio","Alto"))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TRIM(CLEAN(PROPER(D789)))</f>
        <v/>
      </c>
      <c r="Q789">
        <f>PROPER(TRIM(SUBSTITUTE(SUBSTITUTE(SUBSTITUTE(SUBSTITUTE(E789,"TRESEMME","Tresemme"),"HEAD &amp; SHOULDERS","Head &amp; Shoulders"),"ELVIVE","Elvive"),"FRUCTIS","Fructis")))</f>
        <v/>
      </c>
      <c r="R789">
        <f>COUNTIF($D$2:$D$10000,D789)&gt;1</f>
        <v/>
      </c>
      <c r="S789">
        <f>IF(H789=TRUE,"Disponible","No disponible")</f>
        <v/>
      </c>
      <c r="T789">
        <f>IF(AND(ISNUMBER(I789),I789&gt;0),ROUND(F789/I789,2),"Sin volumen")</f>
        <v/>
      </c>
      <c r="U789">
        <f>IF(F789&lt;5000,"Bajo",IF(F789&lt;15000,"Medio","Alto"))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TRIM(CLEAN(PROPER(D790)))</f>
        <v/>
      </c>
      <c r="Q790" s="8">
        <f>PROPER(TRIM(SUBSTITUTE(SUBSTITUTE(SUBSTITUTE(SUBSTITUTE(E790,"TRESEMME","Tresemme"),"HEAD &amp; SHOULDERS","Head &amp; Shoulders"),"ELVIVE","Elvive"),"FRUCTIS","Fructis")))</f>
        <v/>
      </c>
      <c r="R790" s="8">
        <f>COUNTIF($D$2:$D$10000,D790)&gt;1</f>
        <v/>
      </c>
      <c r="S790" s="8">
        <f>IF(H790=TRUE,"Disponible","No disponible")</f>
        <v/>
      </c>
      <c r="T790" s="8">
        <f>IF(AND(ISNUMBER(I790),I790&gt;0),ROUND(F790/I790,2),"Sin volumen")</f>
        <v/>
      </c>
      <c r="U790" s="8">
        <f>IF(F790&lt;5000,"Bajo",IF(F790&lt;15000,"Medio","Alto"))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TRIM(CLEAN(PROPER(D791)))</f>
        <v/>
      </c>
      <c r="Q791">
        <f>PROPER(TRIM(SUBSTITUTE(SUBSTITUTE(SUBSTITUTE(SUBSTITUTE(E791,"TRESEMME","Tresemme"),"HEAD &amp; SHOULDERS","Head &amp; Shoulders"),"ELVIVE","Elvive"),"FRUCTIS","Fructis")))</f>
        <v/>
      </c>
      <c r="R791">
        <f>COUNTIF($D$2:$D$10000,D791)&gt;1</f>
        <v/>
      </c>
      <c r="S791">
        <f>IF(H791=TRUE,"Disponible","No disponible")</f>
        <v/>
      </c>
      <c r="T791">
        <f>IF(AND(ISNUMBER(I791),I791&gt;0),ROUND(F791/I791,2),"Sin volumen")</f>
        <v/>
      </c>
      <c r="U791">
        <f>IF(F791&lt;5000,"Bajo",IF(F791&lt;15000,"Medio","Alto"))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TRIM(CLEAN(PROPER(D792)))</f>
        <v/>
      </c>
      <c r="Q792" s="8">
        <f>PROPER(TRIM(SUBSTITUTE(SUBSTITUTE(SUBSTITUTE(SUBSTITUTE(E792,"TRESEMME","Tresemme"),"HEAD &amp; SHOULDERS","Head &amp; Shoulders"),"ELVIVE","Elvive"),"FRUCTIS","Fructis")))</f>
        <v/>
      </c>
      <c r="R792" s="8">
        <f>COUNTIF($D$2:$D$10000,D792)&gt;1</f>
        <v/>
      </c>
      <c r="S792" s="8">
        <f>IF(H792=TRUE,"Disponible","No disponible")</f>
        <v/>
      </c>
      <c r="T792" s="8">
        <f>IF(AND(ISNUMBER(I792),I792&gt;0),ROUND(F792/I792,2),"Sin volumen")</f>
        <v/>
      </c>
      <c r="U792" s="8">
        <f>IF(F792&lt;5000,"Bajo",IF(F792&lt;15000,"Medio","Alto"))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TRIM(CLEAN(PROPER(D793)))</f>
        <v/>
      </c>
      <c r="Q793">
        <f>PROPER(TRIM(SUBSTITUTE(SUBSTITUTE(SUBSTITUTE(SUBSTITUTE(E793,"TRESEMME","Tresemme"),"HEAD &amp; SHOULDERS","Head &amp; Shoulders"),"ELVIVE","Elvive"),"FRUCTIS","Fructis")))</f>
        <v/>
      </c>
      <c r="R793">
        <f>COUNTIF($D$2:$D$10000,D793)&gt;1</f>
        <v/>
      </c>
      <c r="S793">
        <f>IF(H793=TRUE,"Disponible","No disponible")</f>
        <v/>
      </c>
      <c r="T793">
        <f>IF(AND(ISNUMBER(I793),I793&gt;0),ROUND(F793/I793,2),"Sin volumen")</f>
        <v/>
      </c>
      <c r="U793">
        <f>IF(F793&lt;5000,"Bajo",IF(F793&lt;15000,"Medio","Alto"))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TRIM(CLEAN(PROPER(D794)))</f>
        <v/>
      </c>
      <c r="Q794" s="8">
        <f>PROPER(TRIM(SUBSTITUTE(SUBSTITUTE(SUBSTITUTE(SUBSTITUTE(E794,"TRESEMME","Tresemme"),"HEAD &amp; SHOULDERS","Head &amp; Shoulders"),"ELVIVE","Elvive"),"FRUCTIS","Fructis")))</f>
        <v/>
      </c>
      <c r="R794" s="8">
        <f>COUNTIF($D$2:$D$10000,D794)&gt;1</f>
        <v/>
      </c>
      <c r="S794" s="8">
        <f>IF(H794=TRUE,"Disponible","No disponible")</f>
        <v/>
      </c>
      <c r="T794" s="8">
        <f>IF(AND(ISNUMBER(I794),I794&gt;0),ROUND(F794/I794,2),"Sin volumen")</f>
        <v/>
      </c>
      <c r="U794" s="8">
        <f>IF(F794&lt;5000,"Bajo",IF(F794&lt;15000,"Medio","Alto"))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TRIM(CLEAN(PROPER(D795)))</f>
        <v/>
      </c>
      <c r="Q795">
        <f>PROPER(TRIM(SUBSTITUTE(SUBSTITUTE(SUBSTITUTE(SUBSTITUTE(E795,"TRESEMME","Tresemme"),"HEAD &amp; SHOULDERS","Head &amp; Shoulders"),"ELVIVE","Elvive"),"FRUCTIS","Fructis")))</f>
        <v/>
      </c>
      <c r="R795">
        <f>COUNTIF($D$2:$D$10000,D795)&gt;1</f>
        <v/>
      </c>
      <c r="S795">
        <f>IF(H795=TRUE,"Disponible","No disponible")</f>
        <v/>
      </c>
      <c r="T795">
        <f>IF(AND(ISNUMBER(I795),I795&gt;0),ROUND(F795/I795,2),"Sin volumen")</f>
        <v/>
      </c>
      <c r="U795">
        <f>IF(F795&lt;5000,"Bajo",IF(F795&lt;15000,"Medio","Alto"))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TRIM(CLEAN(PROPER(D796)))</f>
        <v/>
      </c>
      <c r="Q796" s="8">
        <f>PROPER(TRIM(SUBSTITUTE(SUBSTITUTE(SUBSTITUTE(SUBSTITUTE(E796,"TRESEMME","Tresemme"),"HEAD &amp; SHOULDERS","Head &amp; Shoulders"),"ELVIVE","Elvive"),"FRUCTIS","Fructis")))</f>
        <v/>
      </c>
      <c r="R796" s="8">
        <f>COUNTIF($D$2:$D$10000,D796)&gt;1</f>
        <v/>
      </c>
      <c r="S796" s="8">
        <f>IF(H796=TRUE,"Disponible","No disponible")</f>
        <v/>
      </c>
      <c r="T796" s="8">
        <f>IF(AND(ISNUMBER(I796),I796&gt;0),ROUND(F796/I796,2),"Sin volumen")</f>
        <v/>
      </c>
      <c r="U796" s="8">
        <f>IF(F796&lt;5000,"Bajo",IF(F796&lt;15000,"Medio","Alto"))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TRIM(CLEAN(PROPER(D797)))</f>
        <v/>
      </c>
      <c r="Q797">
        <f>PROPER(TRIM(SUBSTITUTE(SUBSTITUTE(SUBSTITUTE(SUBSTITUTE(E797,"TRESEMME","Tresemme"),"HEAD &amp; SHOULDERS","Head &amp; Shoulders"),"ELVIVE","Elvive"),"FRUCTIS","Fructis")))</f>
        <v/>
      </c>
      <c r="R797">
        <f>COUNTIF($D$2:$D$10000,D797)&gt;1</f>
        <v/>
      </c>
      <c r="S797">
        <f>IF(H797=TRUE,"Disponible","No disponible")</f>
        <v/>
      </c>
      <c r="T797">
        <f>IF(AND(ISNUMBER(I797),I797&gt;0),ROUND(F797/I797,2),"Sin volumen")</f>
        <v/>
      </c>
      <c r="U797">
        <f>IF(F797&lt;5000,"Bajo",IF(F797&lt;15000,"Medio","Alto"))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TRIM(CLEAN(PROPER(D798)))</f>
        <v/>
      </c>
      <c r="Q798" s="8">
        <f>PROPER(TRIM(SUBSTITUTE(SUBSTITUTE(SUBSTITUTE(SUBSTITUTE(E798,"TRESEMME","Tresemme"),"HEAD &amp; SHOULDERS","Head &amp; Shoulders"),"ELVIVE","Elvive"),"FRUCTIS","Fructis")))</f>
        <v/>
      </c>
      <c r="R798" s="8">
        <f>COUNTIF($D$2:$D$10000,D798)&gt;1</f>
        <v/>
      </c>
      <c r="S798" s="8">
        <f>IF(H798=TRUE,"Disponible","No disponible")</f>
        <v/>
      </c>
      <c r="T798" s="8">
        <f>IF(AND(ISNUMBER(I798),I798&gt;0),ROUND(F798/I798,2),"Sin volumen")</f>
        <v/>
      </c>
      <c r="U798" s="8">
        <f>IF(F798&lt;5000,"Bajo",IF(F798&lt;15000,"Medio","Alto"))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TRIM(CLEAN(PROPER(D799)))</f>
        <v/>
      </c>
      <c r="Q799">
        <f>PROPER(TRIM(SUBSTITUTE(SUBSTITUTE(SUBSTITUTE(SUBSTITUTE(E799,"TRESEMME","Tresemme"),"HEAD &amp; SHOULDERS","Head &amp; Shoulders"),"ELVIVE","Elvive"),"FRUCTIS","Fructis")))</f>
        <v/>
      </c>
      <c r="R799">
        <f>COUNTIF($D$2:$D$10000,D799)&gt;1</f>
        <v/>
      </c>
      <c r="S799">
        <f>IF(H799=TRUE,"Disponible","No disponible")</f>
        <v/>
      </c>
      <c r="T799">
        <f>IF(AND(ISNUMBER(I799),I799&gt;0),ROUND(F799/I799,2),"Sin volumen")</f>
        <v/>
      </c>
      <c r="U799">
        <f>IF(F799&lt;5000,"Bajo",IF(F799&lt;15000,"Medio","Alto"))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TRIM(CLEAN(PROPER(D800)))</f>
        <v/>
      </c>
      <c r="Q800" s="8">
        <f>PROPER(TRIM(SUBSTITUTE(SUBSTITUTE(SUBSTITUTE(SUBSTITUTE(E800,"TRESEMME","Tresemme"),"HEAD &amp; SHOULDERS","Head &amp; Shoulders"),"ELVIVE","Elvive"),"FRUCTIS","Fructis")))</f>
        <v/>
      </c>
      <c r="R800" s="8">
        <f>COUNTIF($D$2:$D$10000,D800)&gt;1</f>
        <v/>
      </c>
      <c r="S800" s="8">
        <f>IF(H800=TRUE,"Disponible","No disponible")</f>
        <v/>
      </c>
      <c r="T800" s="8">
        <f>IF(AND(ISNUMBER(I800),I800&gt;0),ROUND(F800/I800,2),"Sin volumen")</f>
        <v/>
      </c>
      <c r="U800" s="8">
        <f>IF(F800&lt;5000,"Bajo",IF(F800&lt;15000,"Medio","Alto"))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TRIM(CLEAN(PROPER(D801)))</f>
        <v/>
      </c>
      <c r="Q801">
        <f>PROPER(TRIM(SUBSTITUTE(SUBSTITUTE(SUBSTITUTE(SUBSTITUTE(E801,"TRESEMME","Tresemme"),"HEAD &amp; SHOULDERS","Head &amp; Shoulders"),"ELVIVE","Elvive"),"FRUCTIS","Fructis")))</f>
        <v/>
      </c>
      <c r="R801">
        <f>COUNTIF($D$2:$D$10000,D801)&gt;1</f>
        <v/>
      </c>
      <c r="S801">
        <f>IF(H801=TRUE,"Disponible","No disponible")</f>
        <v/>
      </c>
      <c r="T801">
        <f>IF(AND(ISNUMBER(I801),I801&gt;0),ROUND(F801/I801,2),"Sin volumen")</f>
        <v/>
      </c>
      <c r="U801">
        <f>IF(F801&lt;5000,"Bajo",IF(F801&lt;15000,"Medio","Alto"))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TRIM(CLEAN(PROPER(D802)))</f>
        <v/>
      </c>
      <c r="Q802" s="8">
        <f>PROPER(TRIM(SUBSTITUTE(SUBSTITUTE(SUBSTITUTE(SUBSTITUTE(E802,"TRESEMME","Tresemme"),"HEAD &amp; SHOULDERS","Head &amp; Shoulders"),"ELVIVE","Elvive"),"FRUCTIS","Fructis")))</f>
        <v/>
      </c>
      <c r="R802" s="8">
        <f>COUNTIF($D$2:$D$10000,D802)&gt;1</f>
        <v/>
      </c>
      <c r="S802" s="8">
        <f>IF(H802=TRUE,"Disponible","No disponible")</f>
        <v/>
      </c>
      <c r="T802" s="8">
        <f>IF(AND(ISNUMBER(I802),I802&gt;0),ROUND(F802/I802,2),"Sin volumen")</f>
        <v/>
      </c>
      <c r="U802" s="8">
        <f>IF(F802&lt;5000,"Bajo",IF(F802&lt;15000,"Medio","Alto"))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TRIM(CLEAN(PROPER(D803)))</f>
        <v/>
      </c>
      <c r="Q803">
        <f>PROPER(TRIM(SUBSTITUTE(SUBSTITUTE(SUBSTITUTE(SUBSTITUTE(E803,"TRESEMME","Tresemme"),"HEAD &amp; SHOULDERS","Head &amp; Shoulders"),"ELVIVE","Elvive"),"FRUCTIS","Fructis")))</f>
        <v/>
      </c>
      <c r="R803">
        <f>COUNTIF($D$2:$D$10000,D803)&gt;1</f>
        <v/>
      </c>
      <c r="S803">
        <f>IF(H803=TRUE,"Disponible","No disponible")</f>
        <v/>
      </c>
      <c r="T803">
        <f>IF(AND(ISNUMBER(I803),I803&gt;0),ROUND(F803/I803,2),"Sin volumen")</f>
        <v/>
      </c>
      <c r="U803">
        <f>IF(F803&lt;5000,"Bajo",IF(F803&lt;15000,"Medio","Alto"))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TRIM(CLEAN(PROPER(D804)))</f>
        <v/>
      </c>
      <c r="Q804" s="8">
        <f>PROPER(TRIM(SUBSTITUTE(SUBSTITUTE(SUBSTITUTE(SUBSTITUTE(E804,"TRESEMME","Tresemme"),"HEAD &amp; SHOULDERS","Head &amp; Shoulders"),"ELVIVE","Elvive"),"FRUCTIS","Fructis")))</f>
        <v/>
      </c>
      <c r="R804" s="8">
        <f>COUNTIF($D$2:$D$10000,D804)&gt;1</f>
        <v/>
      </c>
      <c r="S804" s="8">
        <f>IF(H804=TRUE,"Disponible","No disponible")</f>
        <v/>
      </c>
      <c r="T804" s="8">
        <f>IF(AND(ISNUMBER(I804),I804&gt;0),ROUND(F804/I804,2),"Sin volumen")</f>
        <v/>
      </c>
      <c r="U804" s="8">
        <f>IF(F804&lt;5000,"Bajo",IF(F804&lt;15000,"Medio","Alto"))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TRIM(CLEAN(PROPER(D805)))</f>
        <v/>
      </c>
      <c r="Q805">
        <f>PROPER(TRIM(SUBSTITUTE(SUBSTITUTE(SUBSTITUTE(SUBSTITUTE(E805,"TRESEMME","Tresemme"),"HEAD &amp; SHOULDERS","Head &amp; Shoulders"),"ELVIVE","Elvive"),"FRUCTIS","Fructis")))</f>
        <v/>
      </c>
      <c r="R805">
        <f>COUNTIF($D$2:$D$10000,D805)&gt;1</f>
        <v/>
      </c>
      <c r="S805">
        <f>IF(H805=TRUE,"Disponible","No disponible")</f>
        <v/>
      </c>
      <c r="T805">
        <f>IF(AND(ISNUMBER(I805),I805&gt;0),ROUND(F805/I805,2),"Sin volumen")</f>
        <v/>
      </c>
      <c r="U805">
        <f>IF(F805&lt;5000,"Bajo",IF(F805&lt;15000,"Medio","Alto"))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TRIM(CLEAN(PROPER(D806)))</f>
        <v/>
      </c>
      <c r="Q806" s="8">
        <f>PROPER(TRIM(SUBSTITUTE(SUBSTITUTE(SUBSTITUTE(SUBSTITUTE(E806,"TRESEMME","Tresemme"),"HEAD &amp; SHOULDERS","Head &amp; Shoulders"),"ELVIVE","Elvive"),"FRUCTIS","Fructis")))</f>
        <v/>
      </c>
      <c r="R806" s="8">
        <f>COUNTIF($D$2:$D$10000,D806)&gt;1</f>
        <v/>
      </c>
      <c r="S806" s="8">
        <f>IF(H806=TRUE,"Disponible","No disponible")</f>
        <v/>
      </c>
      <c r="T806" s="8">
        <f>IF(AND(ISNUMBER(I806),I806&gt;0),ROUND(F806/I806,2),"Sin volumen")</f>
        <v/>
      </c>
      <c r="U806" s="8">
        <f>IF(F806&lt;5000,"Bajo",IF(F806&lt;15000,"Medio","Alto"))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TRIM(CLEAN(PROPER(D807)))</f>
        <v/>
      </c>
      <c r="Q807">
        <f>PROPER(TRIM(SUBSTITUTE(SUBSTITUTE(SUBSTITUTE(SUBSTITUTE(E807,"TRESEMME","Tresemme"),"HEAD &amp; SHOULDERS","Head &amp; Shoulders"),"ELVIVE","Elvive"),"FRUCTIS","Fructis")))</f>
        <v/>
      </c>
      <c r="R807">
        <f>COUNTIF($D$2:$D$10000,D807)&gt;1</f>
        <v/>
      </c>
      <c r="S807">
        <f>IF(H807=TRUE,"Disponible","No disponible")</f>
        <v/>
      </c>
      <c r="T807">
        <f>IF(AND(ISNUMBER(I807),I807&gt;0),ROUND(F807/I807,2),"Sin volumen")</f>
        <v/>
      </c>
      <c r="U807">
        <f>IF(F807&lt;5000,"Bajo",IF(F807&lt;15000,"Medio","Alto"))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TRIM(CLEAN(PROPER(D808)))</f>
        <v/>
      </c>
      <c r="Q808" s="8">
        <f>PROPER(TRIM(SUBSTITUTE(SUBSTITUTE(SUBSTITUTE(SUBSTITUTE(E808,"TRESEMME","Tresemme"),"HEAD &amp; SHOULDERS","Head &amp; Shoulders"),"ELVIVE","Elvive"),"FRUCTIS","Fructis")))</f>
        <v/>
      </c>
      <c r="R808" s="8">
        <f>COUNTIF($D$2:$D$10000,D808)&gt;1</f>
        <v/>
      </c>
      <c r="S808" s="8">
        <f>IF(H808=TRUE,"Disponible","No disponible")</f>
        <v/>
      </c>
      <c r="T808" s="8">
        <f>IF(AND(ISNUMBER(I808),I808&gt;0),ROUND(F808/I808,2),"Sin volumen")</f>
        <v/>
      </c>
      <c r="U808" s="8">
        <f>IF(F808&lt;5000,"Bajo",IF(F808&lt;15000,"Medio","Alto"))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TRIM(CLEAN(PROPER(D809)))</f>
        <v/>
      </c>
      <c r="Q809">
        <f>PROPER(TRIM(SUBSTITUTE(SUBSTITUTE(SUBSTITUTE(SUBSTITUTE(E809,"TRESEMME","Tresemme"),"HEAD &amp; SHOULDERS","Head &amp; Shoulders"),"ELVIVE","Elvive"),"FRUCTIS","Fructis")))</f>
        <v/>
      </c>
      <c r="R809">
        <f>COUNTIF($D$2:$D$10000,D809)&gt;1</f>
        <v/>
      </c>
      <c r="S809">
        <f>IF(H809=TRUE,"Disponible","No disponible")</f>
        <v/>
      </c>
      <c r="T809">
        <f>IF(AND(ISNUMBER(I809),I809&gt;0),ROUND(F809/I809,2),"Sin volumen")</f>
        <v/>
      </c>
      <c r="U809">
        <f>IF(F809&lt;5000,"Bajo",IF(F809&lt;15000,"Medio","Alto"))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TRIM(CLEAN(PROPER(D810)))</f>
        <v/>
      </c>
      <c r="Q810" s="8">
        <f>PROPER(TRIM(SUBSTITUTE(SUBSTITUTE(SUBSTITUTE(SUBSTITUTE(E810,"TRESEMME","Tresemme"),"HEAD &amp; SHOULDERS","Head &amp; Shoulders"),"ELVIVE","Elvive"),"FRUCTIS","Fructis")))</f>
        <v/>
      </c>
      <c r="R810" s="8">
        <f>COUNTIF($D$2:$D$10000,D810)&gt;1</f>
        <v/>
      </c>
      <c r="S810" s="8">
        <f>IF(H810=TRUE,"Disponible","No disponible")</f>
        <v/>
      </c>
      <c r="T810" s="8">
        <f>IF(AND(ISNUMBER(I810),I810&gt;0),ROUND(F810/I810,2),"Sin volumen")</f>
        <v/>
      </c>
      <c r="U810" s="8">
        <f>IF(F810&lt;5000,"Bajo",IF(F810&lt;15000,"Medio","Alto"))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TRIM(CLEAN(PROPER(D811)))</f>
        <v/>
      </c>
      <c r="Q811">
        <f>PROPER(TRIM(SUBSTITUTE(SUBSTITUTE(SUBSTITUTE(SUBSTITUTE(E811,"TRESEMME","Tresemme"),"HEAD &amp; SHOULDERS","Head &amp; Shoulders"),"ELVIVE","Elvive"),"FRUCTIS","Fructis")))</f>
        <v/>
      </c>
      <c r="R811">
        <f>COUNTIF($D$2:$D$10000,D811)&gt;1</f>
        <v/>
      </c>
      <c r="S811">
        <f>IF(H811=TRUE,"Disponible","No disponible")</f>
        <v/>
      </c>
      <c r="T811">
        <f>IF(AND(ISNUMBER(I811),I811&gt;0),ROUND(F811/I811,2),"Sin volumen")</f>
        <v/>
      </c>
      <c r="U811">
        <f>IF(F811&lt;5000,"Bajo",IF(F811&lt;15000,"Medio","Alto"))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TRIM(CLEAN(PROPER(D812)))</f>
        <v/>
      </c>
      <c r="Q812" s="8">
        <f>PROPER(TRIM(SUBSTITUTE(SUBSTITUTE(SUBSTITUTE(SUBSTITUTE(E812,"TRESEMME","Tresemme"),"HEAD &amp; SHOULDERS","Head &amp; Shoulders"),"ELVIVE","Elvive"),"FRUCTIS","Fructis")))</f>
        <v/>
      </c>
      <c r="R812" s="8">
        <f>COUNTIF($D$2:$D$10000,D812)&gt;1</f>
        <v/>
      </c>
      <c r="S812" s="8">
        <f>IF(H812=TRUE,"Disponible","No disponible")</f>
        <v/>
      </c>
      <c r="T812" s="8">
        <f>IF(AND(ISNUMBER(I812),I812&gt;0),ROUND(F812/I812,2),"Sin volumen")</f>
        <v/>
      </c>
      <c r="U812" s="8">
        <f>IF(F812&lt;5000,"Bajo",IF(F812&lt;15000,"Medio","Alto"))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TRIM(CLEAN(PROPER(D813)))</f>
        <v/>
      </c>
      <c r="Q813">
        <f>PROPER(TRIM(SUBSTITUTE(SUBSTITUTE(SUBSTITUTE(SUBSTITUTE(E813,"TRESEMME","Tresemme"),"HEAD &amp; SHOULDERS","Head &amp; Shoulders"),"ELVIVE","Elvive"),"FRUCTIS","Fructis")))</f>
        <v/>
      </c>
      <c r="R813">
        <f>COUNTIF($D$2:$D$10000,D813)&gt;1</f>
        <v/>
      </c>
      <c r="S813">
        <f>IF(H813=TRUE,"Disponible","No disponible")</f>
        <v/>
      </c>
      <c r="T813">
        <f>IF(AND(ISNUMBER(I813),I813&gt;0),ROUND(F813/I813,2),"Sin volumen")</f>
        <v/>
      </c>
      <c r="U813">
        <f>IF(F813&lt;5000,"Bajo",IF(F813&lt;15000,"Medio","Alto"))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TRIM(CLEAN(PROPER(D814)))</f>
        <v/>
      </c>
      <c r="Q814" s="8">
        <f>PROPER(TRIM(SUBSTITUTE(SUBSTITUTE(SUBSTITUTE(SUBSTITUTE(E814,"TRESEMME","Tresemme"),"HEAD &amp; SHOULDERS","Head &amp; Shoulders"),"ELVIVE","Elvive"),"FRUCTIS","Fructis")))</f>
        <v/>
      </c>
      <c r="R814" s="8">
        <f>COUNTIF($D$2:$D$10000,D814)&gt;1</f>
        <v/>
      </c>
      <c r="S814" s="8">
        <f>IF(H814=TRUE,"Disponible","No disponible")</f>
        <v/>
      </c>
      <c r="T814" s="8">
        <f>IF(AND(ISNUMBER(I814),I814&gt;0),ROUND(F814/I814,2),"Sin volumen")</f>
        <v/>
      </c>
      <c r="U814" s="8">
        <f>IF(F814&lt;5000,"Bajo",IF(F814&lt;15000,"Medio","Alto"))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TRIM(CLEAN(PROPER(D815)))</f>
        <v/>
      </c>
      <c r="Q815">
        <f>PROPER(TRIM(SUBSTITUTE(SUBSTITUTE(SUBSTITUTE(SUBSTITUTE(E815,"TRESEMME","Tresemme"),"HEAD &amp; SHOULDERS","Head &amp; Shoulders"),"ELVIVE","Elvive"),"FRUCTIS","Fructis")))</f>
        <v/>
      </c>
      <c r="R815">
        <f>COUNTIF($D$2:$D$10000,D815)&gt;1</f>
        <v/>
      </c>
      <c r="S815">
        <f>IF(H815=TRUE,"Disponible","No disponible")</f>
        <v/>
      </c>
      <c r="T815">
        <f>IF(AND(ISNUMBER(I815),I815&gt;0),ROUND(F815/I815,2),"Sin volumen")</f>
        <v/>
      </c>
      <c r="U815">
        <f>IF(F815&lt;5000,"Bajo",IF(F815&lt;15000,"Medio","Alto"))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TRIM(CLEAN(PROPER(D816)))</f>
        <v/>
      </c>
      <c r="Q816" s="8">
        <f>PROPER(TRIM(SUBSTITUTE(SUBSTITUTE(SUBSTITUTE(SUBSTITUTE(E816,"TRESEMME","Tresemme"),"HEAD &amp; SHOULDERS","Head &amp; Shoulders"),"ELVIVE","Elvive"),"FRUCTIS","Fructis")))</f>
        <v/>
      </c>
      <c r="R816" s="8">
        <f>COUNTIF($D$2:$D$10000,D816)&gt;1</f>
        <v/>
      </c>
      <c r="S816" s="8">
        <f>IF(H816=TRUE,"Disponible","No disponible")</f>
        <v/>
      </c>
      <c r="T816" s="8">
        <f>IF(AND(ISNUMBER(I816),I816&gt;0),ROUND(F816/I816,2),"Sin volumen")</f>
        <v/>
      </c>
      <c r="U816" s="8">
        <f>IF(F816&lt;5000,"Bajo",IF(F816&lt;15000,"Medio","Alto"))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TRIM(CLEAN(PROPER(D817)))</f>
        <v/>
      </c>
      <c r="Q817">
        <f>PROPER(TRIM(SUBSTITUTE(SUBSTITUTE(SUBSTITUTE(SUBSTITUTE(E817,"TRESEMME","Tresemme"),"HEAD &amp; SHOULDERS","Head &amp; Shoulders"),"ELVIVE","Elvive"),"FRUCTIS","Fructis")))</f>
        <v/>
      </c>
      <c r="R817">
        <f>COUNTIF($D$2:$D$10000,D817)&gt;1</f>
        <v/>
      </c>
      <c r="S817">
        <f>IF(H817=TRUE,"Disponible","No disponible")</f>
        <v/>
      </c>
      <c r="T817">
        <f>IF(AND(ISNUMBER(I817),I817&gt;0),ROUND(F817/I817,2),"Sin volumen")</f>
        <v/>
      </c>
      <c r="U817">
        <f>IF(F817&lt;5000,"Bajo",IF(F817&lt;15000,"Medio","Alto"))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TRIM(CLEAN(PROPER(D818)))</f>
        <v/>
      </c>
      <c r="Q818" s="8">
        <f>PROPER(TRIM(SUBSTITUTE(SUBSTITUTE(SUBSTITUTE(SUBSTITUTE(E818,"TRESEMME","Tresemme"),"HEAD &amp; SHOULDERS","Head &amp; Shoulders"),"ELVIVE","Elvive"),"FRUCTIS","Fructis")))</f>
        <v/>
      </c>
      <c r="R818" s="8">
        <f>COUNTIF($D$2:$D$10000,D818)&gt;1</f>
        <v/>
      </c>
      <c r="S818" s="8">
        <f>IF(H818=TRUE,"Disponible","No disponible")</f>
        <v/>
      </c>
      <c r="T818" s="8">
        <f>IF(AND(ISNUMBER(I818),I818&gt;0),ROUND(F818/I818,2),"Sin volumen")</f>
        <v/>
      </c>
      <c r="U818" s="8">
        <f>IF(F818&lt;5000,"Bajo",IF(F818&lt;15000,"Medio","Alto"))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TRIM(CLEAN(PROPER(D819)))</f>
        <v/>
      </c>
      <c r="Q819">
        <f>PROPER(TRIM(SUBSTITUTE(SUBSTITUTE(SUBSTITUTE(SUBSTITUTE(E819,"TRESEMME","Tresemme"),"HEAD &amp; SHOULDERS","Head &amp; Shoulders"),"ELVIVE","Elvive"),"FRUCTIS","Fructis")))</f>
        <v/>
      </c>
      <c r="R819">
        <f>COUNTIF($D$2:$D$10000,D819)&gt;1</f>
        <v/>
      </c>
      <c r="S819">
        <f>IF(H819=TRUE,"Disponible","No disponible")</f>
        <v/>
      </c>
      <c r="T819">
        <f>IF(AND(ISNUMBER(I819),I819&gt;0),ROUND(F819/I819,2),"Sin volumen")</f>
        <v/>
      </c>
      <c r="U819">
        <f>IF(F819&lt;5000,"Bajo",IF(F819&lt;15000,"Medio","Alto"))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TRIM(CLEAN(PROPER(D820)))</f>
        <v/>
      </c>
      <c r="Q820" s="8">
        <f>PROPER(TRIM(SUBSTITUTE(SUBSTITUTE(SUBSTITUTE(SUBSTITUTE(E820,"TRESEMME","Tresemme"),"HEAD &amp; SHOULDERS","Head &amp; Shoulders"),"ELVIVE","Elvive"),"FRUCTIS","Fructis")))</f>
        <v/>
      </c>
      <c r="R820" s="8">
        <f>COUNTIF($D$2:$D$10000,D820)&gt;1</f>
        <v/>
      </c>
      <c r="S820" s="8">
        <f>IF(H820=TRUE,"Disponible","No disponible")</f>
        <v/>
      </c>
      <c r="T820" s="8">
        <f>IF(AND(ISNUMBER(I820),I820&gt;0),ROUND(F820/I820,2),"Sin volumen")</f>
        <v/>
      </c>
      <c r="U820" s="8">
        <f>IF(F820&lt;5000,"Bajo",IF(F820&lt;15000,"Medio","Alto"))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TRIM(CLEAN(PROPER(D821)))</f>
        <v/>
      </c>
      <c r="Q821">
        <f>PROPER(TRIM(SUBSTITUTE(SUBSTITUTE(SUBSTITUTE(SUBSTITUTE(E821,"TRESEMME","Tresemme"),"HEAD &amp; SHOULDERS","Head &amp; Shoulders"),"ELVIVE","Elvive"),"FRUCTIS","Fructis")))</f>
        <v/>
      </c>
      <c r="R821">
        <f>COUNTIF($D$2:$D$10000,D821)&gt;1</f>
        <v/>
      </c>
      <c r="S821">
        <f>IF(H821=TRUE,"Disponible","No disponible")</f>
        <v/>
      </c>
      <c r="T821">
        <f>IF(AND(ISNUMBER(I821),I821&gt;0),ROUND(F821/I821,2),"Sin volumen")</f>
        <v/>
      </c>
      <c r="U821">
        <f>IF(F821&lt;5000,"Bajo",IF(F821&lt;15000,"Medio","Alto"))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TRIM(CLEAN(PROPER(D822)))</f>
        <v/>
      </c>
      <c r="Q822" s="8">
        <f>PROPER(TRIM(SUBSTITUTE(SUBSTITUTE(SUBSTITUTE(SUBSTITUTE(E822,"TRESEMME","Tresemme"),"HEAD &amp; SHOULDERS","Head &amp; Shoulders"),"ELVIVE","Elvive"),"FRUCTIS","Fructis")))</f>
        <v/>
      </c>
      <c r="R822" s="8">
        <f>COUNTIF($D$2:$D$10000,D822)&gt;1</f>
        <v/>
      </c>
      <c r="S822" s="8">
        <f>IF(H822=TRUE,"Disponible","No disponible")</f>
        <v/>
      </c>
      <c r="T822" s="8">
        <f>IF(AND(ISNUMBER(I822),I822&gt;0),ROUND(F822/I822,2),"Sin volumen")</f>
        <v/>
      </c>
      <c r="U822" s="8">
        <f>IF(F822&lt;5000,"Bajo",IF(F822&lt;15000,"Medio","Alto"))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TRIM(CLEAN(PROPER(D823)))</f>
        <v/>
      </c>
      <c r="Q823">
        <f>PROPER(TRIM(SUBSTITUTE(SUBSTITUTE(SUBSTITUTE(SUBSTITUTE(E823,"TRESEMME","Tresemme"),"HEAD &amp; SHOULDERS","Head &amp; Shoulders"),"ELVIVE","Elvive"),"FRUCTIS","Fructis")))</f>
        <v/>
      </c>
      <c r="R823">
        <f>COUNTIF($D$2:$D$10000,D823)&gt;1</f>
        <v/>
      </c>
      <c r="S823">
        <f>IF(H823=TRUE,"Disponible","No disponible")</f>
        <v/>
      </c>
      <c r="T823">
        <f>IF(AND(ISNUMBER(I823),I823&gt;0),ROUND(F823/I823,2),"Sin volumen")</f>
        <v/>
      </c>
      <c r="U823">
        <f>IF(F823&lt;5000,"Bajo",IF(F823&lt;15000,"Medio","Alto"))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TRIM(CLEAN(PROPER(D824)))</f>
        <v/>
      </c>
      <c r="Q824" s="8">
        <f>PROPER(TRIM(SUBSTITUTE(SUBSTITUTE(SUBSTITUTE(SUBSTITUTE(E824,"TRESEMME","Tresemme"),"HEAD &amp; SHOULDERS","Head &amp; Shoulders"),"ELVIVE","Elvive"),"FRUCTIS","Fructis")))</f>
        <v/>
      </c>
      <c r="R824" s="8">
        <f>COUNTIF($D$2:$D$10000,D824)&gt;1</f>
        <v/>
      </c>
      <c r="S824" s="8">
        <f>IF(H824=TRUE,"Disponible","No disponible")</f>
        <v/>
      </c>
      <c r="T824" s="8">
        <f>IF(AND(ISNUMBER(I824),I824&gt;0),ROUND(F824/I824,2),"Sin volumen")</f>
        <v/>
      </c>
      <c r="U824" s="8">
        <f>IF(F824&lt;5000,"Bajo",IF(F824&lt;15000,"Medio","Alto"))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TRIM(CLEAN(PROPER(D825)))</f>
        <v/>
      </c>
      <c r="Q825">
        <f>PROPER(TRIM(SUBSTITUTE(SUBSTITUTE(SUBSTITUTE(SUBSTITUTE(E825,"TRESEMME","Tresemme"),"HEAD &amp; SHOULDERS","Head &amp; Shoulders"),"ELVIVE","Elvive"),"FRUCTIS","Fructis")))</f>
        <v/>
      </c>
      <c r="R825">
        <f>COUNTIF($D$2:$D$10000,D825)&gt;1</f>
        <v/>
      </c>
      <c r="S825">
        <f>IF(H825=TRUE,"Disponible","No disponible")</f>
        <v/>
      </c>
      <c r="T825">
        <f>IF(AND(ISNUMBER(I825),I825&gt;0),ROUND(F825/I825,2),"Sin volumen")</f>
        <v/>
      </c>
      <c r="U825">
        <f>IF(F825&lt;5000,"Bajo",IF(F825&lt;15000,"Medio","Alto"))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TRIM(CLEAN(PROPER(D826)))</f>
        <v/>
      </c>
      <c r="Q826" s="8">
        <f>PROPER(TRIM(SUBSTITUTE(SUBSTITUTE(SUBSTITUTE(SUBSTITUTE(E826,"TRESEMME","Tresemme"),"HEAD &amp; SHOULDERS","Head &amp; Shoulders"),"ELVIVE","Elvive"),"FRUCTIS","Fructis")))</f>
        <v/>
      </c>
      <c r="R826" s="8">
        <f>COUNTIF($D$2:$D$10000,D826)&gt;1</f>
        <v/>
      </c>
      <c r="S826" s="8">
        <f>IF(H826=TRUE,"Disponible","No disponible")</f>
        <v/>
      </c>
      <c r="T826" s="8">
        <f>IF(AND(ISNUMBER(I826),I826&gt;0),ROUND(F826/I826,2),"Sin volumen")</f>
        <v/>
      </c>
      <c r="U826" s="8">
        <f>IF(F826&lt;5000,"Bajo",IF(F826&lt;15000,"Medio","Alto"))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TRIM(CLEAN(PROPER(D827)))</f>
        <v/>
      </c>
      <c r="Q827">
        <f>PROPER(TRIM(SUBSTITUTE(SUBSTITUTE(SUBSTITUTE(SUBSTITUTE(E827,"TRESEMME","Tresemme"),"HEAD &amp; SHOULDERS","Head &amp; Shoulders"),"ELVIVE","Elvive"),"FRUCTIS","Fructis")))</f>
        <v/>
      </c>
      <c r="R827">
        <f>COUNTIF($D$2:$D$10000,D827)&gt;1</f>
        <v/>
      </c>
      <c r="S827">
        <f>IF(H827=TRUE,"Disponible","No disponible")</f>
        <v/>
      </c>
      <c r="T827">
        <f>IF(AND(ISNUMBER(I827),I827&gt;0),ROUND(F827/I827,2),"Sin volumen")</f>
        <v/>
      </c>
      <c r="U827">
        <f>IF(F827&lt;5000,"Bajo",IF(F827&lt;15000,"Medio","Alto"))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TRIM(CLEAN(PROPER(D828)))</f>
        <v/>
      </c>
      <c r="Q828" s="8">
        <f>PROPER(TRIM(SUBSTITUTE(SUBSTITUTE(SUBSTITUTE(SUBSTITUTE(E828,"TRESEMME","Tresemme"),"HEAD &amp; SHOULDERS","Head &amp; Shoulders"),"ELVIVE","Elvive"),"FRUCTIS","Fructis")))</f>
        <v/>
      </c>
      <c r="R828" s="8">
        <f>COUNTIF($D$2:$D$10000,D828)&gt;1</f>
        <v/>
      </c>
      <c r="S828" s="8">
        <f>IF(H828=TRUE,"Disponible","No disponible")</f>
        <v/>
      </c>
      <c r="T828" s="8">
        <f>IF(AND(ISNUMBER(I828),I828&gt;0),ROUND(F828/I828,2),"Sin volumen")</f>
        <v/>
      </c>
      <c r="U828" s="8">
        <f>IF(F828&lt;5000,"Bajo",IF(F828&lt;15000,"Medio","Alto"))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TRIM(CLEAN(PROPER(D829)))</f>
        <v/>
      </c>
      <c r="Q829">
        <f>PROPER(TRIM(SUBSTITUTE(SUBSTITUTE(SUBSTITUTE(SUBSTITUTE(E829,"TRESEMME","Tresemme"),"HEAD &amp; SHOULDERS","Head &amp; Shoulders"),"ELVIVE","Elvive"),"FRUCTIS","Fructis")))</f>
        <v/>
      </c>
      <c r="R829">
        <f>COUNTIF($D$2:$D$10000,D829)&gt;1</f>
        <v/>
      </c>
      <c r="S829">
        <f>IF(H829=TRUE,"Disponible","No disponible")</f>
        <v/>
      </c>
      <c r="T829">
        <f>IF(AND(ISNUMBER(I829),I829&gt;0),ROUND(F829/I829,2),"Sin volumen")</f>
        <v/>
      </c>
      <c r="U829">
        <f>IF(F829&lt;5000,"Bajo",IF(F829&lt;15000,"Medio","Alto"))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TRIM(CLEAN(PROPER(D830)))</f>
        <v/>
      </c>
      <c r="Q830" s="8">
        <f>PROPER(TRIM(SUBSTITUTE(SUBSTITUTE(SUBSTITUTE(SUBSTITUTE(E830,"TRESEMME","Tresemme"),"HEAD &amp; SHOULDERS","Head &amp; Shoulders"),"ELVIVE","Elvive"),"FRUCTIS","Fructis")))</f>
        <v/>
      </c>
      <c r="R830" s="8">
        <f>COUNTIF($D$2:$D$10000,D830)&gt;1</f>
        <v/>
      </c>
      <c r="S830" s="8">
        <f>IF(H830=TRUE,"Disponible","No disponible")</f>
        <v/>
      </c>
      <c r="T830" s="8">
        <f>IF(AND(ISNUMBER(I830),I830&gt;0),ROUND(F830/I830,2),"Sin volumen")</f>
        <v/>
      </c>
      <c r="U830" s="8">
        <f>IF(F830&lt;5000,"Bajo",IF(F830&lt;15000,"Medio","Alto"))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TRIM(CLEAN(PROPER(D831)))</f>
        <v/>
      </c>
      <c r="Q831">
        <f>PROPER(TRIM(SUBSTITUTE(SUBSTITUTE(SUBSTITUTE(SUBSTITUTE(E831,"TRESEMME","Tresemme"),"HEAD &amp; SHOULDERS","Head &amp; Shoulders"),"ELVIVE","Elvive"),"FRUCTIS","Fructis")))</f>
        <v/>
      </c>
      <c r="R831">
        <f>COUNTIF($D$2:$D$10000,D831)&gt;1</f>
        <v/>
      </c>
      <c r="S831">
        <f>IF(H831=TRUE,"Disponible","No disponible")</f>
        <v/>
      </c>
      <c r="T831">
        <f>IF(AND(ISNUMBER(I831),I831&gt;0),ROUND(F831/I831,2),"Sin volumen")</f>
        <v/>
      </c>
      <c r="U831">
        <f>IF(F831&lt;5000,"Bajo",IF(F831&lt;15000,"Medio","Alto"))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TRIM(CLEAN(PROPER(D832)))</f>
        <v/>
      </c>
      <c r="Q832" s="8">
        <f>PROPER(TRIM(SUBSTITUTE(SUBSTITUTE(SUBSTITUTE(SUBSTITUTE(E832,"TRESEMME","Tresemme"),"HEAD &amp; SHOULDERS","Head &amp; Shoulders"),"ELVIVE","Elvive"),"FRUCTIS","Fructis")))</f>
        <v/>
      </c>
      <c r="R832" s="8">
        <f>COUNTIF($D$2:$D$10000,D832)&gt;1</f>
        <v/>
      </c>
      <c r="S832" s="8">
        <f>IF(H832=TRUE,"Disponible","No disponible")</f>
        <v/>
      </c>
      <c r="T832" s="8">
        <f>IF(AND(ISNUMBER(I832),I832&gt;0),ROUND(F832/I832,2),"Sin volumen")</f>
        <v/>
      </c>
      <c r="U832" s="8">
        <f>IF(F832&lt;5000,"Bajo",IF(F832&lt;15000,"Medio","Alto"))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TRIM(CLEAN(PROPER(D833)))</f>
        <v/>
      </c>
      <c r="Q833">
        <f>PROPER(TRIM(SUBSTITUTE(SUBSTITUTE(SUBSTITUTE(SUBSTITUTE(E833,"TRESEMME","Tresemme"),"HEAD &amp; SHOULDERS","Head &amp; Shoulders"),"ELVIVE","Elvive"),"FRUCTIS","Fructis")))</f>
        <v/>
      </c>
      <c r="R833">
        <f>COUNTIF($D$2:$D$10000,D833)&gt;1</f>
        <v/>
      </c>
      <c r="S833">
        <f>IF(H833=TRUE,"Disponible","No disponible")</f>
        <v/>
      </c>
      <c r="T833">
        <f>IF(AND(ISNUMBER(I833),I833&gt;0),ROUND(F833/I833,2),"Sin volumen")</f>
        <v/>
      </c>
      <c r="U833">
        <f>IF(F833&lt;5000,"Bajo",IF(F833&lt;15000,"Medio","Alto"))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TRIM(CLEAN(PROPER(D834)))</f>
        <v/>
      </c>
      <c r="Q834" s="8">
        <f>PROPER(TRIM(SUBSTITUTE(SUBSTITUTE(SUBSTITUTE(SUBSTITUTE(E834,"TRESEMME","Tresemme"),"HEAD &amp; SHOULDERS","Head &amp; Shoulders"),"ELVIVE","Elvive"),"FRUCTIS","Fructis")))</f>
        <v/>
      </c>
      <c r="R834" s="8">
        <f>COUNTIF($D$2:$D$10000,D834)&gt;1</f>
        <v/>
      </c>
      <c r="S834" s="8">
        <f>IF(H834=TRUE,"Disponible","No disponible")</f>
        <v/>
      </c>
      <c r="T834" s="8">
        <f>IF(AND(ISNUMBER(I834),I834&gt;0),ROUND(F834/I834,2),"Sin volumen")</f>
        <v/>
      </c>
      <c r="U834" s="8">
        <f>IF(F834&lt;5000,"Bajo",IF(F834&lt;15000,"Medio","Alto"))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TRIM(CLEAN(PROPER(D835)))</f>
        <v/>
      </c>
      <c r="Q835">
        <f>PROPER(TRIM(SUBSTITUTE(SUBSTITUTE(SUBSTITUTE(SUBSTITUTE(E835,"TRESEMME","Tresemme"),"HEAD &amp; SHOULDERS","Head &amp; Shoulders"),"ELVIVE","Elvive"),"FRUCTIS","Fructis")))</f>
        <v/>
      </c>
      <c r="R835">
        <f>COUNTIF($D$2:$D$10000,D835)&gt;1</f>
        <v/>
      </c>
      <c r="S835">
        <f>IF(H835=TRUE,"Disponible","No disponible")</f>
        <v/>
      </c>
      <c r="T835">
        <f>IF(AND(ISNUMBER(I835),I835&gt;0),ROUND(F835/I835,2),"Sin volumen")</f>
        <v/>
      </c>
      <c r="U835">
        <f>IF(F835&lt;5000,"Bajo",IF(F835&lt;15000,"Medio","Alto"))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TRIM(CLEAN(PROPER(D836)))</f>
        <v/>
      </c>
      <c r="Q836" s="8">
        <f>PROPER(TRIM(SUBSTITUTE(SUBSTITUTE(SUBSTITUTE(SUBSTITUTE(E836,"TRESEMME","Tresemme"),"HEAD &amp; SHOULDERS","Head &amp; Shoulders"),"ELVIVE","Elvive"),"FRUCTIS","Fructis")))</f>
        <v/>
      </c>
      <c r="R836" s="8">
        <f>COUNTIF($D$2:$D$10000,D836)&gt;1</f>
        <v/>
      </c>
      <c r="S836" s="8">
        <f>IF(H836=TRUE,"Disponible","No disponible")</f>
        <v/>
      </c>
      <c r="T836" s="8">
        <f>IF(AND(ISNUMBER(I836),I836&gt;0),ROUND(F836/I836,2),"Sin volumen")</f>
        <v/>
      </c>
      <c r="U836" s="8">
        <f>IF(F836&lt;5000,"Bajo",IF(F836&lt;15000,"Medio","Alto"))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TRIM(CLEAN(PROPER(D837)))</f>
        <v/>
      </c>
      <c r="Q837">
        <f>PROPER(TRIM(SUBSTITUTE(SUBSTITUTE(SUBSTITUTE(SUBSTITUTE(E837,"TRESEMME","Tresemme"),"HEAD &amp; SHOULDERS","Head &amp; Shoulders"),"ELVIVE","Elvive"),"FRUCTIS","Fructis")))</f>
        <v/>
      </c>
      <c r="R837">
        <f>COUNTIF($D$2:$D$10000,D837)&gt;1</f>
        <v/>
      </c>
      <c r="S837">
        <f>IF(H837=TRUE,"Disponible","No disponible")</f>
        <v/>
      </c>
      <c r="T837">
        <f>IF(AND(ISNUMBER(I837),I837&gt;0),ROUND(F837/I837,2),"Sin volumen")</f>
        <v/>
      </c>
      <c r="U837">
        <f>IF(F837&lt;5000,"Bajo",IF(F837&lt;15000,"Medio","Alto"))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TRIM(CLEAN(PROPER(D838)))</f>
        <v/>
      </c>
      <c r="Q838" s="8">
        <f>PROPER(TRIM(SUBSTITUTE(SUBSTITUTE(SUBSTITUTE(SUBSTITUTE(E838,"TRESEMME","Tresemme"),"HEAD &amp; SHOULDERS","Head &amp; Shoulders"),"ELVIVE","Elvive"),"FRUCTIS","Fructis")))</f>
        <v/>
      </c>
      <c r="R838" s="8">
        <f>COUNTIF($D$2:$D$10000,D838)&gt;1</f>
        <v/>
      </c>
      <c r="S838" s="8">
        <f>IF(H838=TRUE,"Disponible","No disponible")</f>
        <v/>
      </c>
      <c r="T838" s="8">
        <f>IF(AND(ISNUMBER(I838),I838&gt;0),ROUND(F838/I838,2),"Sin volumen")</f>
        <v/>
      </c>
      <c r="U838" s="8">
        <f>IF(F838&lt;5000,"Bajo",IF(F838&lt;15000,"Medio","Alto"))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TRIM(CLEAN(PROPER(D839)))</f>
        <v/>
      </c>
      <c r="Q839">
        <f>PROPER(TRIM(SUBSTITUTE(SUBSTITUTE(SUBSTITUTE(SUBSTITUTE(E839,"TRESEMME","Tresemme"),"HEAD &amp; SHOULDERS","Head &amp; Shoulders"),"ELVIVE","Elvive"),"FRUCTIS","Fructis")))</f>
        <v/>
      </c>
      <c r="R839">
        <f>COUNTIF($D$2:$D$10000,D839)&gt;1</f>
        <v/>
      </c>
      <c r="S839">
        <f>IF(H839=TRUE,"Disponible","No disponible")</f>
        <v/>
      </c>
      <c r="T839">
        <f>IF(AND(ISNUMBER(I839),I839&gt;0),ROUND(F839/I839,2),"Sin volumen")</f>
        <v/>
      </c>
      <c r="U839">
        <f>IF(F839&lt;5000,"Bajo",IF(F839&lt;15000,"Medio","Alto"))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TRIM(CLEAN(PROPER(D840)))</f>
        <v/>
      </c>
      <c r="Q840" s="8">
        <f>PROPER(TRIM(SUBSTITUTE(SUBSTITUTE(SUBSTITUTE(SUBSTITUTE(E840,"TRESEMME","Tresemme"),"HEAD &amp; SHOULDERS","Head &amp; Shoulders"),"ELVIVE","Elvive"),"FRUCTIS","Fructis")))</f>
        <v/>
      </c>
      <c r="R840" s="8">
        <f>COUNTIF($D$2:$D$10000,D840)&gt;1</f>
        <v/>
      </c>
      <c r="S840" s="8">
        <f>IF(H840=TRUE,"Disponible","No disponible")</f>
        <v/>
      </c>
      <c r="T840" s="8">
        <f>IF(AND(ISNUMBER(I840),I840&gt;0),ROUND(F840/I840,2),"Sin volumen")</f>
        <v/>
      </c>
      <c r="U840" s="8">
        <f>IF(F840&lt;5000,"Bajo",IF(F840&lt;15000,"Medio","Alto"))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TRIM(CLEAN(PROPER(D841)))</f>
        <v/>
      </c>
      <c r="Q841">
        <f>PROPER(TRIM(SUBSTITUTE(SUBSTITUTE(SUBSTITUTE(SUBSTITUTE(E841,"TRESEMME","Tresemme"),"HEAD &amp; SHOULDERS","Head &amp; Shoulders"),"ELVIVE","Elvive"),"FRUCTIS","Fructis")))</f>
        <v/>
      </c>
      <c r="R841">
        <f>COUNTIF($D$2:$D$10000,D841)&gt;1</f>
        <v/>
      </c>
      <c r="S841">
        <f>IF(H841=TRUE,"Disponible","No disponible")</f>
        <v/>
      </c>
      <c r="T841">
        <f>IF(AND(ISNUMBER(I841),I841&gt;0),ROUND(F841/I841,2),"Sin volumen")</f>
        <v/>
      </c>
      <c r="U841">
        <f>IF(F841&lt;5000,"Bajo",IF(F841&lt;15000,"Medio","Alto"))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TRIM(CLEAN(PROPER(D842)))</f>
        <v/>
      </c>
      <c r="Q842" s="8">
        <f>PROPER(TRIM(SUBSTITUTE(SUBSTITUTE(SUBSTITUTE(SUBSTITUTE(E842,"TRESEMME","Tresemme"),"HEAD &amp; SHOULDERS","Head &amp; Shoulders"),"ELVIVE","Elvive"),"FRUCTIS","Fructis")))</f>
        <v/>
      </c>
      <c r="R842" s="8">
        <f>COUNTIF($D$2:$D$10000,D842)&gt;1</f>
        <v/>
      </c>
      <c r="S842" s="8">
        <f>IF(H842=TRUE,"Disponible","No disponible")</f>
        <v/>
      </c>
      <c r="T842" s="8">
        <f>IF(AND(ISNUMBER(I842),I842&gt;0),ROUND(F842/I842,2),"Sin volumen")</f>
        <v/>
      </c>
      <c r="U842" s="8">
        <f>IF(F842&lt;5000,"Bajo",IF(F842&lt;15000,"Medio","Alto"))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TRIM(CLEAN(PROPER(D843)))</f>
        <v/>
      </c>
      <c r="Q843">
        <f>PROPER(TRIM(SUBSTITUTE(SUBSTITUTE(SUBSTITUTE(SUBSTITUTE(E843,"TRESEMME","Tresemme"),"HEAD &amp; SHOULDERS","Head &amp; Shoulders"),"ELVIVE","Elvive"),"FRUCTIS","Fructis")))</f>
        <v/>
      </c>
      <c r="R843">
        <f>COUNTIF($D$2:$D$10000,D843)&gt;1</f>
        <v/>
      </c>
      <c r="S843">
        <f>IF(H843=TRUE,"Disponible","No disponible")</f>
        <v/>
      </c>
      <c r="T843">
        <f>IF(AND(ISNUMBER(I843),I843&gt;0),ROUND(F843/I843,2),"Sin volumen")</f>
        <v/>
      </c>
      <c r="U843">
        <f>IF(F843&lt;5000,"Bajo",IF(F843&lt;15000,"Medio","Alto"))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TRIM(CLEAN(PROPER(D844)))</f>
        <v/>
      </c>
      <c r="Q844" s="8">
        <f>PROPER(TRIM(SUBSTITUTE(SUBSTITUTE(SUBSTITUTE(SUBSTITUTE(E844,"TRESEMME","Tresemme"),"HEAD &amp; SHOULDERS","Head &amp; Shoulders"),"ELVIVE","Elvive"),"FRUCTIS","Fructis")))</f>
        <v/>
      </c>
      <c r="R844" s="8">
        <f>COUNTIF($D$2:$D$10000,D844)&gt;1</f>
        <v/>
      </c>
      <c r="S844" s="8">
        <f>IF(H844=TRUE,"Disponible","No disponible")</f>
        <v/>
      </c>
      <c r="T844" s="8">
        <f>IF(AND(ISNUMBER(I844),I844&gt;0),ROUND(F844/I844,2),"Sin volumen")</f>
        <v/>
      </c>
      <c r="U844" s="8">
        <f>IF(F844&lt;5000,"Bajo",IF(F844&lt;15000,"Medio","Alto"))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TRIM(CLEAN(PROPER(D845)))</f>
        <v/>
      </c>
      <c r="Q845">
        <f>PROPER(TRIM(SUBSTITUTE(SUBSTITUTE(SUBSTITUTE(SUBSTITUTE(E845,"TRESEMME","Tresemme"),"HEAD &amp; SHOULDERS","Head &amp; Shoulders"),"ELVIVE","Elvive"),"FRUCTIS","Fructis")))</f>
        <v/>
      </c>
      <c r="R845">
        <f>COUNTIF($D$2:$D$10000,D845)&gt;1</f>
        <v/>
      </c>
      <c r="S845">
        <f>IF(H845=TRUE,"Disponible","No disponible")</f>
        <v/>
      </c>
      <c r="T845">
        <f>IF(AND(ISNUMBER(I845),I845&gt;0),ROUND(F845/I845,2),"Sin volumen")</f>
        <v/>
      </c>
      <c r="U845">
        <f>IF(F845&lt;5000,"Bajo",IF(F845&lt;15000,"Medio","Alto"))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TRIM(CLEAN(PROPER(D846)))</f>
        <v/>
      </c>
      <c r="Q846" s="8">
        <f>PROPER(TRIM(SUBSTITUTE(SUBSTITUTE(SUBSTITUTE(SUBSTITUTE(E846,"TRESEMME","Tresemme"),"HEAD &amp; SHOULDERS","Head &amp; Shoulders"),"ELVIVE","Elvive"),"FRUCTIS","Fructis")))</f>
        <v/>
      </c>
      <c r="R846" s="8">
        <f>COUNTIF($D$2:$D$10000,D846)&gt;1</f>
        <v/>
      </c>
      <c r="S846" s="8">
        <f>IF(H846=TRUE,"Disponible","No disponible")</f>
        <v/>
      </c>
      <c r="T846" s="8">
        <f>IF(AND(ISNUMBER(I846),I846&gt;0),ROUND(F846/I846,2),"Sin volumen")</f>
        <v/>
      </c>
      <c r="U846" s="8">
        <f>IF(F846&lt;5000,"Bajo",IF(F846&lt;15000,"Medio","Alto"))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TRIM(CLEAN(PROPER(D847)))</f>
        <v/>
      </c>
      <c r="Q847">
        <f>PROPER(TRIM(SUBSTITUTE(SUBSTITUTE(SUBSTITUTE(SUBSTITUTE(E847,"TRESEMME","Tresemme"),"HEAD &amp; SHOULDERS","Head &amp; Shoulders"),"ELVIVE","Elvive"),"FRUCTIS","Fructis")))</f>
        <v/>
      </c>
      <c r="R847">
        <f>COUNTIF($D$2:$D$10000,D847)&gt;1</f>
        <v/>
      </c>
      <c r="S847">
        <f>IF(H847=TRUE,"Disponible","No disponible")</f>
        <v/>
      </c>
      <c r="T847">
        <f>IF(AND(ISNUMBER(I847),I847&gt;0),ROUND(F847/I847,2),"Sin volumen")</f>
        <v/>
      </c>
      <c r="U847">
        <f>IF(F847&lt;5000,"Bajo",IF(F847&lt;15000,"Medio","Alto"))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TRIM(CLEAN(PROPER(D848)))</f>
        <v/>
      </c>
      <c r="Q848" s="8">
        <f>PROPER(TRIM(SUBSTITUTE(SUBSTITUTE(SUBSTITUTE(SUBSTITUTE(E848,"TRESEMME","Tresemme"),"HEAD &amp; SHOULDERS","Head &amp; Shoulders"),"ELVIVE","Elvive"),"FRUCTIS","Fructis")))</f>
        <v/>
      </c>
      <c r="R848" s="8">
        <f>COUNTIF($D$2:$D$10000,D848)&gt;1</f>
        <v/>
      </c>
      <c r="S848" s="8">
        <f>IF(H848=TRUE,"Disponible","No disponible")</f>
        <v/>
      </c>
      <c r="T848" s="8">
        <f>IF(AND(ISNUMBER(I848),I848&gt;0),ROUND(F848/I848,2),"Sin volumen")</f>
        <v/>
      </c>
      <c r="U848" s="8">
        <f>IF(F848&lt;5000,"Bajo",IF(F848&lt;15000,"Medio","Alto"))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TRIM(CLEAN(PROPER(D849)))</f>
        <v/>
      </c>
      <c r="Q849">
        <f>PROPER(TRIM(SUBSTITUTE(SUBSTITUTE(SUBSTITUTE(SUBSTITUTE(E849,"TRESEMME","Tresemme"),"HEAD &amp; SHOULDERS","Head &amp; Shoulders"),"ELVIVE","Elvive"),"FRUCTIS","Fructis")))</f>
        <v/>
      </c>
      <c r="R849">
        <f>COUNTIF($D$2:$D$10000,D849)&gt;1</f>
        <v/>
      </c>
      <c r="S849">
        <f>IF(H849=TRUE,"Disponible","No disponible")</f>
        <v/>
      </c>
      <c r="T849">
        <f>IF(AND(ISNUMBER(I849),I849&gt;0),ROUND(F849/I849,2),"Sin volumen")</f>
        <v/>
      </c>
      <c r="U849">
        <f>IF(F849&lt;5000,"Bajo",IF(F849&lt;15000,"Medio","Alto"))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TRIM(CLEAN(PROPER(D850)))</f>
        <v/>
      </c>
      <c r="Q850" s="8">
        <f>PROPER(TRIM(SUBSTITUTE(SUBSTITUTE(SUBSTITUTE(SUBSTITUTE(E850,"TRESEMME","Tresemme"),"HEAD &amp; SHOULDERS","Head &amp; Shoulders"),"ELVIVE","Elvive"),"FRUCTIS","Fructis")))</f>
        <v/>
      </c>
      <c r="R850" s="8">
        <f>COUNTIF($D$2:$D$10000,D850)&gt;1</f>
        <v/>
      </c>
      <c r="S850" s="8">
        <f>IF(H850=TRUE,"Disponible","No disponible")</f>
        <v/>
      </c>
      <c r="T850" s="8">
        <f>IF(AND(ISNUMBER(I850),I850&gt;0),ROUND(F850/I850,2),"Sin volumen")</f>
        <v/>
      </c>
      <c r="U850" s="8">
        <f>IF(F850&lt;5000,"Bajo",IF(F850&lt;15000,"Medio","Alto"))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TRIM(CLEAN(PROPER(D851)))</f>
        <v/>
      </c>
      <c r="Q851">
        <f>PROPER(TRIM(SUBSTITUTE(SUBSTITUTE(SUBSTITUTE(SUBSTITUTE(E851,"TRESEMME","Tresemme"),"HEAD &amp; SHOULDERS","Head &amp; Shoulders"),"ELVIVE","Elvive"),"FRUCTIS","Fructis")))</f>
        <v/>
      </c>
      <c r="R851">
        <f>COUNTIF($D$2:$D$10000,D851)&gt;1</f>
        <v/>
      </c>
      <c r="S851">
        <f>IF(H851=TRUE,"Disponible","No disponible")</f>
        <v/>
      </c>
      <c r="T851">
        <f>IF(AND(ISNUMBER(I851),I851&gt;0),ROUND(F851/I851,2),"Sin volumen")</f>
        <v/>
      </c>
      <c r="U851">
        <f>IF(F851&lt;5000,"Bajo",IF(F851&lt;15000,"Medio","Alto"))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TRIM(CLEAN(PROPER(D852)))</f>
        <v/>
      </c>
      <c r="Q852" s="8">
        <f>PROPER(TRIM(SUBSTITUTE(SUBSTITUTE(SUBSTITUTE(SUBSTITUTE(E852,"TRESEMME","Tresemme"),"HEAD &amp; SHOULDERS","Head &amp; Shoulders"),"ELVIVE","Elvive"),"FRUCTIS","Fructis")))</f>
        <v/>
      </c>
      <c r="R852" s="8">
        <f>COUNTIF($D$2:$D$10000,D852)&gt;1</f>
        <v/>
      </c>
      <c r="S852" s="8">
        <f>IF(H852=TRUE,"Disponible","No disponible")</f>
        <v/>
      </c>
      <c r="T852" s="8">
        <f>IF(AND(ISNUMBER(I852),I852&gt;0),ROUND(F852/I852,2),"Sin volumen")</f>
        <v/>
      </c>
      <c r="U852" s="8">
        <f>IF(F852&lt;5000,"Bajo",IF(F852&lt;15000,"Medio","Alto"))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TRIM(CLEAN(PROPER(D853)))</f>
        <v/>
      </c>
      <c r="Q853">
        <f>PROPER(TRIM(SUBSTITUTE(SUBSTITUTE(SUBSTITUTE(SUBSTITUTE(E853,"TRESEMME","Tresemme"),"HEAD &amp; SHOULDERS","Head &amp; Shoulders"),"ELVIVE","Elvive"),"FRUCTIS","Fructis")))</f>
        <v/>
      </c>
      <c r="R853">
        <f>COUNTIF($D$2:$D$10000,D853)&gt;1</f>
        <v/>
      </c>
      <c r="S853">
        <f>IF(H853=TRUE,"Disponible","No disponible")</f>
        <v/>
      </c>
      <c r="T853">
        <f>IF(AND(ISNUMBER(I853),I853&gt;0),ROUND(F853/I853,2),"Sin volumen")</f>
        <v/>
      </c>
      <c r="U853">
        <f>IF(F853&lt;5000,"Bajo",IF(F853&lt;15000,"Medio","Alto"))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TRIM(CLEAN(PROPER(D854)))</f>
        <v/>
      </c>
      <c r="Q854" s="8">
        <f>PROPER(TRIM(SUBSTITUTE(SUBSTITUTE(SUBSTITUTE(SUBSTITUTE(E854,"TRESEMME","Tresemme"),"HEAD &amp; SHOULDERS","Head &amp; Shoulders"),"ELVIVE","Elvive"),"FRUCTIS","Fructis")))</f>
        <v/>
      </c>
      <c r="R854" s="8">
        <f>COUNTIF($D$2:$D$10000,D854)&gt;1</f>
        <v/>
      </c>
      <c r="S854" s="8">
        <f>IF(H854=TRUE,"Disponible","No disponible")</f>
        <v/>
      </c>
      <c r="T854" s="8">
        <f>IF(AND(ISNUMBER(I854),I854&gt;0),ROUND(F854/I854,2),"Sin volumen")</f>
        <v/>
      </c>
      <c r="U854" s="8">
        <f>IF(F854&lt;5000,"Bajo",IF(F854&lt;15000,"Medio","Alto"))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TRIM(CLEAN(PROPER(D855)))</f>
        <v/>
      </c>
      <c r="Q855">
        <f>PROPER(TRIM(SUBSTITUTE(SUBSTITUTE(SUBSTITUTE(SUBSTITUTE(E855,"TRESEMME","Tresemme"),"HEAD &amp; SHOULDERS","Head &amp; Shoulders"),"ELVIVE","Elvive"),"FRUCTIS","Fructis")))</f>
        <v/>
      </c>
      <c r="R855">
        <f>COUNTIF($D$2:$D$10000,D855)&gt;1</f>
        <v/>
      </c>
      <c r="S855">
        <f>IF(H855=TRUE,"Disponible","No disponible")</f>
        <v/>
      </c>
      <c r="T855">
        <f>IF(AND(ISNUMBER(I855),I855&gt;0),ROUND(F855/I855,2),"Sin volumen")</f>
        <v/>
      </c>
      <c r="U855">
        <f>IF(F855&lt;5000,"Bajo",IF(F855&lt;15000,"Medio","Alto"))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TRIM(CLEAN(PROPER(D856)))</f>
        <v/>
      </c>
      <c r="Q856" s="8">
        <f>PROPER(TRIM(SUBSTITUTE(SUBSTITUTE(SUBSTITUTE(SUBSTITUTE(E856,"TRESEMME","Tresemme"),"HEAD &amp; SHOULDERS","Head &amp; Shoulders"),"ELVIVE","Elvive"),"FRUCTIS","Fructis")))</f>
        <v/>
      </c>
      <c r="R856" s="8">
        <f>COUNTIF($D$2:$D$10000,D856)&gt;1</f>
        <v/>
      </c>
      <c r="S856" s="8">
        <f>IF(H856=TRUE,"Disponible","No disponible")</f>
        <v/>
      </c>
      <c r="T856" s="8">
        <f>IF(AND(ISNUMBER(I856),I856&gt;0),ROUND(F856/I856,2),"Sin volumen")</f>
        <v/>
      </c>
      <c r="U856" s="8">
        <f>IF(F856&lt;5000,"Bajo",IF(F856&lt;15000,"Medio","Alto"))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TRIM(CLEAN(PROPER(D857)))</f>
        <v/>
      </c>
      <c r="Q857">
        <f>PROPER(TRIM(SUBSTITUTE(SUBSTITUTE(SUBSTITUTE(SUBSTITUTE(E857,"TRESEMME","Tresemme"),"HEAD &amp; SHOULDERS","Head &amp; Shoulders"),"ELVIVE","Elvive"),"FRUCTIS","Fructis")))</f>
        <v/>
      </c>
      <c r="R857">
        <f>COUNTIF($D$2:$D$10000,D857)&gt;1</f>
        <v/>
      </c>
      <c r="S857">
        <f>IF(H857=TRUE,"Disponible","No disponible")</f>
        <v/>
      </c>
      <c r="T857">
        <f>IF(AND(ISNUMBER(I857),I857&gt;0),ROUND(F857/I857,2),"Sin volumen")</f>
        <v/>
      </c>
      <c r="U857">
        <f>IF(F857&lt;5000,"Bajo",IF(F857&lt;15000,"Medio","Alto"))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TRIM(CLEAN(PROPER(D858)))</f>
        <v/>
      </c>
      <c r="Q858" s="8">
        <f>PROPER(TRIM(SUBSTITUTE(SUBSTITUTE(SUBSTITUTE(SUBSTITUTE(E858,"TRESEMME","Tresemme"),"HEAD &amp; SHOULDERS","Head &amp; Shoulders"),"ELVIVE","Elvive"),"FRUCTIS","Fructis")))</f>
        <v/>
      </c>
      <c r="R858" s="8">
        <f>COUNTIF($D$2:$D$10000,D858)&gt;1</f>
        <v/>
      </c>
      <c r="S858" s="8">
        <f>IF(H858=TRUE,"Disponible","No disponible")</f>
        <v/>
      </c>
      <c r="T858" s="8">
        <f>IF(AND(ISNUMBER(I858),I858&gt;0),ROUND(F858/I858,2),"Sin volumen")</f>
        <v/>
      </c>
      <c r="U858" s="8">
        <f>IF(F858&lt;5000,"Bajo",IF(F858&lt;15000,"Medio","Alto"))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TRIM(CLEAN(PROPER(D859)))</f>
        <v/>
      </c>
      <c r="Q859">
        <f>PROPER(TRIM(SUBSTITUTE(SUBSTITUTE(SUBSTITUTE(SUBSTITUTE(E859,"TRESEMME","Tresemme"),"HEAD &amp; SHOULDERS","Head &amp; Shoulders"),"ELVIVE","Elvive"),"FRUCTIS","Fructis")))</f>
        <v/>
      </c>
      <c r="R859">
        <f>COUNTIF($D$2:$D$10000,D859)&gt;1</f>
        <v/>
      </c>
      <c r="S859">
        <f>IF(H859=TRUE,"Disponible","No disponible")</f>
        <v/>
      </c>
      <c r="T859">
        <f>IF(AND(ISNUMBER(I859),I859&gt;0),ROUND(F859/I859,2),"Sin volumen")</f>
        <v/>
      </c>
      <c r="U859">
        <f>IF(F859&lt;5000,"Bajo",IF(F859&lt;15000,"Medio","Alto"))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TRIM(CLEAN(PROPER(D860)))</f>
        <v/>
      </c>
      <c r="Q860" s="8">
        <f>PROPER(TRIM(SUBSTITUTE(SUBSTITUTE(SUBSTITUTE(SUBSTITUTE(E860,"TRESEMME","Tresemme"),"HEAD &amp; SHOULDERS","Head &amp; Shoulders"),"ELVIVE","Elvive"),"FRUCTIS","Fructis")))</f>
        <v/>
      </c>
      <c r="R860" s="8">
        <f>COUNTIF($D$2:$D$10000,D860)&gt;1</f>
        <v/>
      </c>
      <c r="S860" s="8">
        <f>IF(H860=TRUE,"Disponible","No disponible")</f>
        <v/>
      </c>
      <c r="T860" s="8">
        <f>IF(AND(ISNUMBER(I860),I860&gt;0),ROUND(F860/I860,2),"Sin volumen")</f>
        <v/>
      </c>
      <c r="U860" s="8">
        <f>IF(F860&lt;5000,"Bajo",IF(F860&lt;15000,"Medio","Alto"))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TRIM(CLEAN(PROPER(D861)))</f>
        <v/>
      </c>
      <c r="Q861">
        <f>PROPER(TRIM(SUBSTITUTE(SUBSTITUTE(SUBSTITUTE(SUBSTITUTE(E861,"TRESEMME","Tresemme"),"HEAD &amp; SHOULDERS","Head &amp; Shoulders"),"ELVIVE","Elvive"),"FRUCTIS","Fructis")))</f>
        <v/>
      </c>
      <c r="R861">
        <f>COUNTIF($D$2:$D$10000,D861)&gt;1</f>
        <v/>
      </c>
      <c r="S861">
        <f>IF(H861=TRUE,"Disponible","No disponible")</f>
        <v/>
      </c>
      <c r="T861">
        <f>IF(AND(ISNUMBER(I861),I861&gt;0),ROUND(F861/I861,2),"Sin volumen")</f>
        <v/>
      </c>
      <c r="U861">
        <f>IF(F861&lt;5000,"Bajo",IF(F861&lt;15000,"Medio","Alto"))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TRIM(CLEAN(PROPER(D862)))</f>
        <v/>
      </c>
      <c r="Q862" s="8">
        <f>PROPER(TRIM(SUBSTITUTE(SUBSTITUTE(SUBSTITUTE(SUBSTITUTE(E862,"TRESEMME","Tresemme"),"HEAD &amp; SHOULDERS","Head &amp; Shoulders"),"ELVIVE","Elvive"),"FRUCTIS","Fructis")))</f>
        <v/>
      </c>
      <c r="R862" s="8">
        <f>COUNTIF($D$2:$D$10000,D862)&gt;1</f>
        <v/>
      </c>
      <c r="S862" s="8">
        <f>IF(H862=TRUE,"Disponible","No disponible")</f>
        <v/>
      </c>
      <c r="T862" s="8">
        <f>IF(AND(ISNUMBER(I862),I862&gt;0),ROUND(F862/I862,2),"Sin volumen")</f>
        <v/>
      </c>
      <c r="U862" s="8">
        <f>IF(F862&lt;5000,"Bajo",IF(F862&lt;15000,"Medio","Alto"))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TRIM(CLEAN(PROPER(D863)))</f>
        <v/>
      </c>
      <c r="Q863">
        <f>PROPER(TRIM(SUBSTITUTE(SUBSTITUTE(SUBSTITUTE(SUBSTITUTE(E863,"TRESEMME","Tresemme"),"HEAD &amp; SHOULDERS","Head &amp; Shoulders"),"ELVIVE","Elvive"),"FRUCTIS","Fructis")))</f>
        <v/>
      </c>
      <c r="R863">
        <f>COUNTIF($D$2:$D$10000,D863)&gt;1</f>
        <v/>
      </c>
      <c r="S863">
        <f>IF(H863=TRUE,"Disponible","No disponible")</f>
        <v/>
      </c>
      <c r="T863">
        <f>IF(AND(ISNUMBER(I863),I863&gt;0),ROUND(F863/I863,2),"Sin volumen")</f>
        <v/>
      </c>
      <c r="U863">
        <f>IF(F863&lt;5000,"Bajo",IF(F863&lt;15000,"Medio","Alto"))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TRIM(CLEAN(PROPER(D864)))</f>
        <v/>
      </c>
      <c r="Q864" s="8">
        <f>PROPER(TRIM(SUBSTITUTE(SUBSTITUTE(SUBSTITUTE(SUBSTITUTE(E864,"TRESEMME","Tresemme"),"HEAD &amp; SHOULDERS","Head &amp; Shoulders"),"ELVIVE","Elvive"),"FRUCTIS","Fructis")))</f>
        <v/>
      </c>
      <c r="R864" s="8">
        <f>COUNTIF($D$2:$D$10000,D864)&gt;1</f>
        <v/>
      </c>
      <c r="S864" s="8">
        <f>IF(H864=TRUE,"Disponible","No disponible")</f>
        <v/>
      </c>
      <c r="T864" s="8">
        <f>IF(AND(ISNUMBER(I864),I864&gt;0),ROUND(F864/I864,2),"Sin volumen")</f>
        <v/>
      </c>
      <c r="U864" s="8">
        <f>IF(F864&lt;5000,"Bajo",IF(F864&lt;15000,"Medio","Alto"))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TRIM(CLEAN(PROPER(D865)))</f>
        <v/>
      </c>
      <c r="Q865">
        <f>PROPER(TRIM(SUBSTITUTE(SUBSTITUTE(SUBSTITUTE(SUBSTITUTE(E865,"TRESEMME","Tresemme"),"HEAD &amp; SHOULDERS","Head &amp; Shoulders"),"ELVIVE","Elvive"),"FRUCTIS","Fructis")))</f>
        <v/>
      </c>
      <c r="R865">
        <f>COUNTIF($D$2:$D$10000,D865)&gt;1</f>
        <v/>
      </c>
      <c r="S865">
        <f>IF(H865=TRUE,"Disponible","No disponible")</f>
        <v/>
      </c>
      <c r="T865">
        <f>IF(AND(ISNUMBER(I865),I865&gt;0),ROUND(F865/I865,2),"Sin volumen")</f>
        <v/>
      </c>
      <c r="U865">
        <f>IF(F865&lt;5000,"Bajo",IF(F865&lt;15000,"Medio","Alto"))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TRIM(CLEAN(PROPER(D866)))</f>
        <v/>
      </c>
      <c r="Q866" s="8">
        <f>PROPER(TRIM(SUBSTITUTE(SUBSTITUTE(SUBSTITUTE(SUBSTITUTE(E866,"TRESEMME","Tresemme"),"HEAD &amp; SHOULDERS","Head &amp; Shoulders"),"ELVIVE","Elvive"),"FRUCTIS","Fructis")))</f>
        <v/>
      </c>
      <c r="R866" s="8">
        <f>COUNTIF($D$2:$D$10000,D866)&gt;1</f>
        <v/>
      </c>
      <c r="S866" s="8">
        <f>IF(H866=TRUE,"Disponible","No disponible")</f>
        <v/>
      </c>
      <c r="T866" s="8">
        <f>IF(AND(ISNUMBER(I866),I866&gt;0),ROUND(F866/I866,2),"Sin volumen")</f>
        <v/>
      </c>
      <c r="U866" s="8">
        <f>IF(F866&lt;5000,"Bajo",IF(F866&lt;15000,"Medio","Alto"))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TRIM(CLEAN(PROPER(D867)))</f>
        <v/>
      </c>
      <c r="Q867">
        <f>PROPER(TRIM(SUBSTITUTE(SUBSTITUTE(SUBSTITUTE(SUBSTITUTE(E867,"TRESEMME","Tresemme"),"HEAD &amp; SHOULDERS","Head &amp; Shoulders"),"ELVIVE","Elvive"),"FRUCTIS","Fructis")))</f>
        <v/>
      </c>
      <c r="R867">
        <f>COUNTIF($D$2:$D$10000,D867)&gt;1</f>
        <v/>
      </c>
      <c r="S867">
        <f>IF(H867=TRUE,"Disponible","No disponible")</f>
        <v/>
      </c>
      <c r="T867">
        <f>IF(AND(ISNUMBER(I867),I867&gt;0),ROUND(F867/I867,2),"Sin volumen")</f>
        <v/>
      </c>
      <c r="U867">
        <f>IF(F867&lt;5000,"Bajo",IF(F867&lt;15000,"Medio","Alto"))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TRIM(CLEAN(PROPER(D868)))</f>
        <v/>
      </c>
      <c r="Q868" s="8">
        <f>PROPER(TRIM(SUBSTITUTE(SUBSTITUTE(SUBSTITUTE(SUBSTITUTE(E868,"TRESEMME","Tresemme"),"HEAD &amp; SHOULDERS","Head &amp; Shoulders"),"ELVIVE","Elvive"),"FRUCTIS","Fructis")))</f>
        <v/>
      </c>
      <c r="R868" s="8">
        <f>COUNTIF($D$2:$D$10000,D868)&gt;1</f>
        <v/>
      </c>
      <c r="S868" s="8">
        <f>IF(H868=TRUE,"Disponible","No disponible")</f>
        <v/>
      </c>
      <c r="T868" s="8">
        <f>IF(AND(ISNUMBER(I868),I868&gt;0),ROUND(F868/I868,2),"Sin volumen")</f>
        <v/>
      </c>
      <c r="U868" s="8">
        <f>IF(F868&lt;5000,"Bajo",IF(F868&lt;15000,"Medio","Alto"))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TRIM(CLEAN(PROPER(D869)))</f>
        <v/>
      </c>
      <c r="Q869">
        <f>PROPER(TRIM(SUBSTITUTE(SUBSTITUTE(SUBSTITUTE(SUBSTITUTE(E869,"TRESEMME","Tresemme"),"HEAD &amp; SHOULDERS","Head &amp; Shoulders"),"ELVIVE","Elvive"),"FRUCTIS","Fructis")))</f>
        <v/>
      </c>
      <c r="R869">
        <f>COUNTIF($D$2:$D$10000,D869)&gt;1</f>
        <v/>
      </c>
      <c r="S869">
        <f>IF(H869=TRUE,"Disponible","No disponible")</f>
        <v/>
      </c>
      <c r="T869">
        <f>IF(AND(ISNUMBER(I869),I869&gt;0),ROUND(F869/I869,2),"Sin volumen")</f>
        <v/>
      </c>
      <c r="U869">
        <f>IF(F869&lt;5000,"Bajo",IF(F869&lt;15000,"Medio","Alto"))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TRIM(CLEAN(PROPER(D870)))</f>
        <v/>
      </c>
      <c r="Q870" s="8">
        <f>PROPER(TRIM(SUBSTITUTE(SUBSTITUTE(SUBSTITUTE(SUBSTITUTE(E870,"TRESEMME","Tresemme"),"HEAD &amp; SHOULDERS","Head &amp; Shoulders"),"ELVIVE","Elvive"),"FRUCTIS","Fructis")))</f>
        <v/>
      </c>
      <c r="R870" s="8">
        <f>COUNTIF($D$2:$D$10000,D870)&gt;1</f>
        <v/>
      </c>
      <c r="S870" s="8">
        <f>IF(H870=TRUE,"Disponible","No disponible")</f>
        <v/>
      </c>
      <c r="T870" s="8">
        <f>IF(AND(ISNUMBER(I870),I870&gt;0),ROUND(F870/I870,2),"Sin volumen")</f>
        <v/>
      </c>
      <c r="U870" s="8">
        <f>IF(F870&lt;5000,"Bajo",IF(F870&lt;15000,"Medio","Alto"))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TRIM(CLEAN(PROPER(D871)))</f>
        <v/>
      </c>
      <c r="Q871">
        <f>PROPER(TRIM(SUBSTITUTE(SUBSTITUTE(SUBSTITUTE(SUBSTITUTE(E871,"TRESEMME","Tresemme"),"HEAD &amp; SHOULDERS","Head &amp; Shoulders"),"ELVIVE","Elvive"),"FRUCTIS","Fructis")))</f>
        <v/>
      </c>
      <c r="R871">
        <f>COUNTIF($D$2:$D$10000,D871)&gt;1</f>
        <v/>
      </c>
      <c r="S871">
        <f>IF(H871=TRUE,"Disponible","No disponible")</f>
        <v/>
      </c>
      <c r="T871">
        <f>IF(AND(ISNUMBER(I871),I871&gt;0),ROUND(F871/I871,2),"Sin volumen")</f>
        <v/>
      </c>
      <c r="U871">
        <f>IF(F871&lt;5000,"Bajo",IF(F871&lt;15000,"Medio","Alto"))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TRIM(CLEAN(PROPER(D872)))</f>
        <v/>
      </c>
      <c r="Q872" s="8">
        <f>PROPER(TRIM(SUBSTITUTE(SUBSTITUTE(SUBSTITUTE(SUBSTITUTE(E872,"TRESEMME","Tresemme"),"HEAD &amp; SHOULDERS","Head &amp; Shoulders"),"ELVIVE","Elvive"),"FRUCTIS","Fructis")))</f>
        <v/>
      </c>
      <c r="R872" s="8">
        <f>COUNTIF($D$2:$D$10000,D872)&gt;1</f>
        <v/>
      </c>
      <c r="S872" s="8">
        <f>IF(H872=TRUE,"Disponible","No disponible")</f>
        <v/>
      </c>
      <c r="T872" s="8">
        <f>IF(AND(ISNUMBER(I872),I872&gt;0),ROUND(F872/I872,2),"Sin volumen")</f>
        <v/>
      </c>
      <c r="U872" s="8">
        <f>IF(F872&lt;5000,"Bajo",IF(F872&lt;15000,"Medio","Alto"))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TRIM(CLEAN(PROPER(D873)))</f>
        <v/>
      </c>
      <c r="Q873">
        <f>PROPER(TRIM(SUBSTITUTE(SUBSTITUTE(SUBSTITUTE(SUBSTITUTE(E873,"TRESEMME","Tresemme"),"HEAD &amp; SHOULDERS","Head &amp; Shoulders"),"ELVIVE","Elvive"),"FRUCTIS","Fructis")))</f>
        <v/>
      </c>
      <c r="R873">
        <f>COUNTIF($D$2:$D$10000,D873)&gt;1</f>
        <v/>
      </c>
      <c r="S873">
        <f>IF(H873=TRUE,"Disponible","No disponible")</f>
        <v/>
      </c>
      <c r="T873">
        <f>IF(AND(ISNUMBER(I873),I873&gt;0),ROUND(F873/I873,2),"Sin volumen")</f>
        <v/>
      </c>
      <c r="U873">
        <f>IF(F873&lt;5000,"Bajo",IF(F873&lt;15000,"Medio","Alto"))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TRIM(CLEAN(PROPER(D874)))</f>
        <v/>
      </c>
      <c r="Q874" s="8">
        <f>PROPER(TRIM(SUBSTITUTE(SUBSTITUTE(SUBSTITUTE(SUBSTITUTE(E874,"TRESEMME","Tresemme"),"HEAD &amp; SHOULDERS","Head &amp; Shoulders"),"ELVIVE","Elvive"),"FRUCTIS","Fructis")))</f>
        <v/>
      </c>
      <c r="R874" s="8">
        <f>COUNTIF($D$2:$D$10000,D874)&gt;1</f>
        <v/>
      </c>
      <c r="S874" s="8">
        <f>IF(H874=TRUE,"Disponible","No disponible")</f>
        <v/>
      </c>
      <c r="T874" s="8">
        <f>IF(AND(ISNUMBER(I874),I874&gt;0),ROUND(F874/I874,2),"Sin volumen")</f>
        <v/>
      </c>
      <c r="U874" s="8">
        <f>IF(F874&lt;5000,"Bajo",IF(F874&lt;15000,"Medio","Alto"))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TRIM(CLEAN(PROPER(D875)))</f>
        <v/>
      </c>
      <c r="Q875">
        <f>PROPER(TRIM(SUBSTITUTE(SUBSTITUTE(SUBSTITUTE(SUBSTITUTE(E875,"TRESEMME","Tresemme"),"HEAD &amp; SHOULDERS","Head &amp; Shoulders"),"ELVIVE","Elvive"),"FRUCTIS","Fructis")))</f>
        <v/>
      </c>
      <c r="R875">
        <f>COUNTIF($D$2:$D$10000,D875)&gt;1</f>
        <v/>
      </c>
      <c r="S875">
        <f>IF(H875=TRUE,"Disponible","No disponible")</f>
        <v/>
      </c>
      <c r="T875">
        <f>IF(AND(ISNUMBER(I875),I875&gt;0),ROUND(F875/I875,2),"Sin volumen")</f>
        <v/>
      </c>
      <c r="U875">
        <f>IF(F875&lt;5000,"Bajo",IF(F875&lt;15000,"Medio","Alto"))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TRIM(CLEAN(PROPER(D876)))</f>
        <v/>
      </c>
      <c r="Q876" s="8">
        <f>PROPER(TRIM(SUBSTITUTE(SUBSTITUTE(SUBSTITUTE(SUBSTITUTE(E876,"TRESEMME","Tresemme"),"HEAD &amp; SHOULDERS","Head &amp; Shoulders"),"ELVIVE","Elvive"),"FRUCTIS","Fructis")))</f>
        <v/>
      </c>
      <c r="R876" s="8">
        <f>COUNTIF($D$2:$D$10000,D876)&gt;1</f>
        <v/>
      </c>
      <c r="S876" s="8">
        <f>IF(H876=TRUE,"Disponible","No disponible")</f>
        <v/>
      </c>
      <c r="T876" s="8">
        <f>IF(AND(ISNUMBER(I876),I876&gt;0),ROUND(F876/I876,2),"Sin volumen")</f>
        <v/>
      </c>
      <c r="U876" s="8">
        <f>IF(F876&lt;5000,"Bajo",IF(F876&lt;15000,"Medio","Alto"))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TRIM(CLEAN(PROPER(D877)))</f>
        <v/>
      </c>
      <c r="Q877">
        <f>PROPER(TRIM(SUBSTITUTE(SUBSTITUTE(SUBSTITUTE(SUBSTITUTE(E877,"TRESEMME","Tresemme"),"HEAD &amp; SHOULDERS","Head &amp; Shoulders"),"ELVIVE","Elvive"),"FRUCTIS","Fructis")))</f>
        <v/>
      </c>
      <c r="R877">
        <f>COUNTIF($D$2:$D$10000,D877)&gt;1</f>
        <v/>
      </c>
      <c r="S877">
        <f>IF(H877=TRUE,"Disponible","No disponible")</f>
        <v/>
      </c>
      <c r="T877">
        <f>IF(AND(ISNUMBER(I877),I877&gt;0),ROUND(F877/I877,2),"Sin volumen")</f>
        <v/>
      </c>
      <c r="U877">
        <f>IF(F877&lt;5000,"Bajo",IF(F877&lt;15000,"Medio","Alto"))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TRIM(CLEAN(PROPER(D878)))</f>
        <v/>
      </c>
      <c r="Q878" s="8">
        <f>PROPER(TRIM(SUBSTITUTE(SUBSTITUTE(SUBSTITUTE(SUBSTITUTE(E878,"TRESEMME","Tresemme"),"HEAD &amp; SHOULDERS","Head &amp; Shoulders"),"ELVIVE","Elvive"),"FRUCTIS","Fructis")))</f>
        <v/>
      </c>
      <c r="R878" s="8">
        <f>COUNTIF($D$2:$D$10000,D878)&gt;1</f>
        <v/>
      </c>
      <c r="S878" s="8">
        <f>IF(H878=TRUE,"Disponible","No disponible")</f>
        <v/>
      </c>
      <c r="T878" s="8">
        <f>IF(AND(ISNUMBER(I878),I878&gt;0),ROUND(F878/I878,2),"Sin volumen")</f>
        <v/>
      </c>
      <c r="U878" s="8">
        <f>IF(F878&lt;5000,"Bajo",IF(F878&lt;15000,"Medio","Alto"))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TRIM(CLEAN(PROPER(D879)))</f>
        <v/>
      </c>
      <c r="Q879">
        <f>PROPER(TRIM(SUBSTITUTE(SUBSTITUTE(SUBSTITUTE(SUBSTITUTE(E879,"TRESEMME","Tresemme"),"HEAD &amp; SHOULDERS","Head &amp; Shoulders"),"ELVIVE","Elvive"),"FRUCTIS","Fructis")))</f>
        <v/>
      </c>
      <c r="R879">
        <f>COUNTIF($D$2:$D$10000,D879)&gt;1</f>
        <v/>
      </c>
      <c r="S879">
        <f>IF(H879=TRUE,"Disponible","No disponible")</f>
        <v/>
      </c>
      <c r="T879">
        <f>IF(AND(ISNUMBER(I879),I879&gt;0),ROUND(F879/I879,2),"Sin volumen")</f>
        <v/>
      </c>
      <c r="U879">
        <f>IF(F879&lt;5000,"Bajo",IF(F879&lt;15000,"Medio","Alto"))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TRIM(CLEAN(PROPER(D880)))</f>
        <v/>
      </c>
      <c r="Q880" s="8">
        <f>PROPER(TRIM(SUBSTITUTE(SUBSTITUTE(SUBSTITUTE(SUBSTITUTE(E880,"TRESEMME","Tresemme"),"HEAD &amp; SHOULDERS","Head &amp; Shoulders"),"ELVIVE","Elvive"),"FRUCTIS","Fructis")))</f>
        <v/>
      </c>
      <c r="R880" s="8">
        <f>COUNTIF($D$2:$D$10000,D880)&gt;1</f>
        <v/>
      </c>
      <c r="S880" s="8">
        <f>IF(H880=TRUE,"Disponible","No disponible")</f>
        <v/>
      </c>
      <c r="T880" s="8">
        <f>IF(AND(ISNUMBER(I880),I880&gt;0),ROUND(F880/I880,2),"Sin volumen")</f>
        <v/>
      </c>
      <c r="U880" s="8">
        <f>IF(F880&lt;5000,"Bajo",IF(F880&lt;15000,"Medio","Alto"))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TRIM(CLEAN(PROPER(D881)))</f>
        <v/>
      </c>
      <c r="Q881">
        <f>PROPER(TRIM(SUBSTITUTE(SUBSTITUTE(SUBSTITUTE(SUBSTITUTE(E881,"TRESEMME","Tresemme"),"HEAD &amp; SHOULDERS","Head &amp; Shoulders"),"ELVIVE","Elvive"),"FRUCTIS","Fructis")))</f>
        <v/>
      </c>
      <c r="R881">
        <f>COUNTIF($D$2:$D$10000,D881)&gt;1</f>
        <v/>
      </c>
      <c r="S881">
        <f>IF(H881=TRUE,"Disponible","No disponible")</f>
        <v/>
      </c>
      <c r="T881">
        <f>IF(AND(ISNUMBER(I881),I881&gt;0),ROUND(F881/I881,2),"Sin volumen")</f>
        <v/>
      </c>
      <c r="U881">
        <f>IF(F881&lt;5000,"Bajo",IF(F881&lt;15000,"Medio","Alto"))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TRIM(CLEAN(PROPER(D882)))</f>
        <v/>
      </c>
      <c r="Q882" s="8">
        <f>PROPER(TRIM(SUBSTITUTE(SUBSTITUTE(SUBSTITUTE(SUBSTITUTE(E882,"TRESEMME","Tresemme"),"HEAD &amp; SHOULDERS","Head &amp; Shoulders"),"ELVIVE","Elvive"),"FRUCTIS","Fructis")))</f>
        <v/>
      </c>
      <c r="R882" s="8">
        <f>COUNTIF($D$2:$D$10000,D882)&gt;1</f>
        <v/>
      </c>
      <c r="S882" s="8">
        <f>IF(H882=TRUE,"Disponible","No disponible")</f>
        <v/>
      </c>
      <c r="T882" s="8">
        <f>IF(AND(ISNUMBER(I882),I882&gt;0),ROUND(F882/I882,2),"Sin volumen")</f>
        <v/>
      </c>
      <c r="U882" s="8">
        <f>IF(F882&lt;5000,"Bajo",IF(F882&lt;15000,"Medio","Alto"))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TRIM(CLEAN(PROPER(D883)))</f>
        <v/>
      </c>
      <c r="Q883">
        <f>PROPER(TRIM(SUBSTITUTE(SUBSTITUTE(SUBSTITUTE(SUBSTITUTE(E883,"TRESEMME","Tresemme"),"HEAD &amp; SHOULDERS","Head &amp; Shoulders"),"ELVIVE","Elvive"),"FRUCTIS","Fructis")))</f>
        <v/>
      </c>
      <c r="R883">
        <f>COUNTIF($D$2:$D$10000,D883)&gt;1</f>
        <v/>
      </c>
      <c r="S883">
        <f>IF(H883=TRUE,"Disponible","No disponible")</f>
        <v/>
      </c>
      <c r="T883">
        <f>IF(AND(ISNUMBER(I883),I883&gt;0),ROUND(F883/I883,2),"Sin volumen")</f>
        <v/>
      </c>
      <c r="U883">
        <f>IF(F883&lt;5000,"Bajo",IF(F883&lt;15000,"Medio","Alto"))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TRIM(CLEAN(PROPER(D884)))</f>
        <v/>
      </c>
      <c r="Q884" s="8">
        <f>PROPER(TRIM(SUBSTITUTE(SUBSTITUTE(SUBSTITUTE(SUBSTITUTE(E884,"TRESEMME","Tresemme"),"HEAD &amp; SHOULDERS","Head &amp; Shoulders"),"ELVIVE","Elvive"),"FRUCTIS","Fructis")))</f>
        <v/>
      </c>
      <c r="R884" s="8">
        <f>COUNTIF($D$2:$D$10000,D884)&gt;1</f>
        <v/>
      </c>
      <c r="S884" s="8">
        <f>IF(H884=TRUE,"Disponible","No disponible")</f>
        <v/>
      </c>
      <c r="T884" s="8">
        <f>IF(AND(ISNUMBER(I884),I884&gt;0),ROUND(F884/I884,2),"Sin volumen")</f>
        <v/>
      </c>
      <c r="U884" s="8">
        <f>IF(F884&lt;5000,"Bajo",IF(F884&lt;15000,"Medio","Alto"))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TRIM(CLEAN(PROPER(D885)))</f>
        <v/>
      </c>
      <c r="Q885">
        <f>PROPER(TRIM(SUBSTITUTE(SUBSTITUTE(SUBSTITUTE(SUBSTITUTE(E885,"TRESEMME","Tresemme"),"HEAD &amp; SHOULDERS","Head &amp; Shoulders"),"ELVIVE","Elvive"),"FRUCTIS","Fructis")))</f>
        <v/>
      </c>
      <c r="R885">
        <f>COUNTIF($D$2:$D$10000,D885)&gt;1</f>
        <v/>
      </c>
      <c r="S885">
        <f>IF(H885=TRUE,"Disponible","No disponible")</f>
        <v/>
      </c>
      <c r="T885">
        <f>IF(AND(ISNUMBER(I885),I885&gt;0),ROUND(F885/I885,2),"Sin volumen")</f>
        <v/>
      </c>
      <c r="U885">
        <f>IF(F885&lt;5000,"Bajo",IF(F885&lt;15000,"Medio","Alto"))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TRIM(CLEAN(PROPER(D886)))</f>
        <v/>
      </c>
      <c r="Q886" s="8">
        <f>PROPER(TRIM(SUBSTITUTE(SUBSTITUTE(SUBSTITUTE(SUBSTITUTE(E886,"TRESEMME","Tresemme"),"HEAD &amp; SHOULDERS","Head &amp; Shoulders"),"ELVIVE","Elvive"),"FRUCTIS","Fructis")))</f>
        <v/>
      </c>
      <c r="R886" s="8">
        <f>COUNTIF($D$2:$D$10000,D886)&gt;1</f>
        <v/>
      </c>
      <c r="S886" s="8">
        <f>IF(H886=TRUE,"Disponible","No disponible")</f>
        <v/>
      </c>
      <c r="T886" s="8">
        <f>IF(AND(ISNUMBER(I886),I886&gt;0),ROUND(F886/I886,2),"Sin volumen")</f>
        <v/>
      </c>
      <c r="U886" s="8">
        <f>IF(F886&lt;5000,"Bajo",IF(F886&lt;15000,"Medio","Alto"))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TRIM(CLEAN(PROPER(D887)))</f>
        <v/>
      </c>
      <c r="Q887">
        <f>PROPER(TRIM(SUBSTITUTE(SUBSTITUTE(SUBSTITUTE(SUBSTITUTE(E887,"TRESEMME","Tresemme"),"HEAD &amp; SHOULDERS","Head &amp; Shoulders"),"ELVIVE","Elvive"),"FRUCTIS","Fructis")))</f>
        <v/>
      </c>
      <c r="R887">
        <f>COUNTIF($D$2:$D$10000,D887)&gt;1</f>
        <v/>
      </c>
      <c r="S887">
        <f>IF(H887=TRUE,"Disponible","No disponible")</f>
        <v/>
      </c>
      <c r="T887">
        <f>IF(AND(ISNUMBER(I887),I887&gt;0),ROUND(F887/I887,2),"Sin volumen")</f>
        <v/>
      </c>
      <c r="U887">
        <f>IF(F887&lt;5000,"Bajo",IF(F887&lt;15000,"Medio","Alto"))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TRIM(CLEAN(PROPER(D888)))</f>
        <v/>
      </c>
      <c r="Q888" s="8">
        <f>PROPER(TRIM(SUBSTITUTE(SUBSTITUTE(SUBSTITUTE(SUBSTITUTE(E888,"TRESEMME","Tresemme"),"HEAD &amp; SHOULDERS","Head &amp; Shoulders"),"ELVIVE","Elvive"),"FRUCTIS","Fructis")))</f>
        <v/>
      </c>
      <c r="R888" s="8">
        <f>COUNTIF($D$2:$D$10000,D888)&gt;1</f>
        <v/>
      </c>
      <c r="S888" s="8">
        <f>IF(H888=TRUE,"Disponible","No disponible")</f>
        <v/>
      </c>
      <c r="T888" s="8">
        <f>IF(AND(ISNUMBER(I888),I888&gt;0),ROUND(F888/I888,2),"Sin volumen")</f>
        <v/>
      </c>
      <c r="U888" s="8">
        <f>IF(F888&lt;5000,"Bajo",IF(F888&lt;15000,"Medio","Alto"))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TRIM(CLEAN(PROPER(D889)))</f>
        <v/>
      </c>
      <c r="Q889">
        <f>PROPER(TRIM(SUBSTITUTE(SUBSTITUTE(SUBSTITUTE(SUBSTITUTE(E889,"TRESEMME","Tresemme"),"HEAD &amp; SHOULDERS","Head &amp; Shoulders"),"ELVIVE","Elvive"),"FRUCTIS","Fructis")))</f>
        <v/>
      </c>
      <c r="R889">
        <f>COUNTIF($D$2:$D$10000,D889)&gt;1</f>
        <v/>
      </c>
      <c r="S889">
        <f>IF(H889=TRUE,"Disponible","No disponible")</f>
        <v/>
      </c>
      <c r="T889">
        <f>IF(AND(ISNUMBER(I889),I889&gt;0),ROUND(F889/I889,2),"Sin volumen")</f>
        <v/>
      </c>
      <c r="U889">
        <f>IF(F889&lt;5000,"Bajo",IF(F889&lt;15000,"Medio","Alto"))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TRIM(CLEAN(PROPER(D890)))</f>
        <v/>
      </c>
      <c r="Q890" s="8">
        <f>PROPER(TRIM(SUBSTITUTE(SUBSTITUTE(SUBSTITUTE(SUBSTITUTE(E890,"TRESEMME","Tresemme"),"HEAD &amp; SHOULDERS","Head &amp; Shoulders"),"ELVIVE","Elvive"),"FRUCTIS","Fructis")))</f>
        <v/>
      </c>
      <c r="R890" s="8">
        <f>COUNTIF($D$2:$D$10000,D890)&gt;1</f>
        <v/>
      </c>
      <c r="S890" s="8">
        <f>IF(H890=TRUE,"Disponible","No disponible")</f>
        <v/>
      </c>
      <c r="T890" s="8">
        <f>IF(AND(ISNUMBER(I890),I890&gt;0),ROUND(F890/I890,2),"Sin volumen")</f>
        <v/>
      </c>
      <c r="U890" s="8">
        <f>IF(F890&lt;5000,"Bajo",IF(F890&lt;15000,"Medio","Alto"))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TRIM(CLEAN(PROPER(D891)))</f>
        <v/>
      </c>
      <c r="Q891">
        <f>PROPER(TRIM(SUBSTITUTE(SUBSTITUTE(SUBSTITUTE(SUBSTITUTE(E891,"TRESEMME","Tresemme"),"HEAD &amp; SHOULDERS","Head &amp; Shoulders"),"ELVIVE","Elvive"),"FRUCTIS","Fructis")))</f>
        <v/>
      </c>
      <c r="R891">
        <f>COUNTIF($D$2:$D$10000,D891)&gt;1</f>
        <v/>
      </c>
      <c r="S891">
        <f>IF(H891=TRUE,"Disponible","No disponible")</f>
        <v/>
      </c>
      <c r="T891">
        <f>IF(AND(ISNUMBER(I891),I891&gt;0),ROUND(F891/I891,2),"Sin volumen")</f>
        <v/>
      </c>
      <c r="U891">
        <f>IF(F891&lt;5000,"Bajo",IF(F891&lt;15000,"Medio","Alto"))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TRIM(CLEAN(PROPER(D892)))</f>
        <v/>
      </c>
      <c r="Q892" s="8">
        <f>PROPER(TRIM(SUBSTITUTE(SUBSTITUTE(SUBSTITUTE(SUBSTITUTE(E892,"TRESEMME","Tresemme"),"HEAD &amp; SHOULDERS","Head &amp; Shoulders"),"ELVIVE","Elvive"),"FRUCTIS","Fructis")))</f>
        <v/>
      </c>
      <c r="R892" s="8">
        <f>COUNTIF($D$2:$D$10000,D892)&gt;1</f>
        <v/>
      </c>
      <c r="S892" s="8">
        <f>IF(H892=TRUE,"Disponible","No disponible")</f>
        <v/>
      </c>
      <c r="T892" s="8">
        <f>IF(AND(ISNUMBER(I892),I892&gt;0),ROUND(F892/I892,2),"Sin volumen")</f>
        <v/>
      </c>
      <c r="U892" s="8">
        <f>IF(F892&lt;5000,"Bajo",IF(F892&lt;15000,"Medio","Alto"))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TRIM(CLEAN(PROPER(D893)))</f>
        <v/>
      </c>
      <c r="Q893">
        <f>PROPER(TRIM(SUBSTITUTE(SUBSTITUTE(SUBSTITUTE(SUBSTITUTE(E893,"TRESEMME","Tresemme"),"HEAD &amp; SHOULDERS","Head &amp; Shoulders"),"ELVIVE","Elvive"),"FRUCTIS","Fructis")))</f>
        <v/>
      </c>
      <c r="R893">
        <f>COUNTIF($D$2:$D$10000,D893)&gt;1</f>
        <v/>
      </c>
      <c r="S893">
        <f>IF(H893=TRUE,"Disponible","No disponible")</f>
        <v/>
      </c>
      <c r="T893">
        <f>IF(AND(ISNUMBER(I893),I893&gt;0),ROUND(F893/I893,2),"Sin volumen")</f>
        <v/>
      </c>
      <c r="U893">
        <f>IF(F893&lt;5000,"Bajo",IF(F893&lt;15000,"Medio","Alto"))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TRIM(CLEAN(PROPER(D894)))</f>
        <v/>
      </c>
      <c r="Q894" s="8">
        <f>PROPER(TRIM(SUBSTITUTE(SUBSTITUTE(SUBSTITUTE(SUBSTITUTE(E894,"TRESEMME","Tresemme"),"HEAD &amp; SHOULDERS","Head &amp; Shoulders"),"ELVIVE","Elvive"),"FRUCTIS","Fructis")))</f>
        <v/>
      </c>
      <c r="R894" s="8">
        <f>COUNTIF($D$2:$D$10000,D894)&gt;1</f>
        <v/>
      </c>
      <c r="S894" s="8">
        <f>IF(H894=TRUE,"Disponible","No disponible")</f>
        <v/>
      </c>
      <c r="T894" s="8">
        <f>IF(AND(ISNUMBER(I894),I894&gt;0),ROUND(F894/I894,2),"Sin volumen")</f>
        <v/>
      </c>
      <c r="U894" s="8">
        <f>IF(F894&lt;5000,"Bajo",IF(F894&lt;15000,"Medio","Alto"))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TRIM(CLEAN(PROPER(D895)))</f>
        <v/>
      </c>
      <c r="Q895">
        <f>PROPER(TRIM(SUBSTITUTE(SUBSTITUTE(SUBSTITUTE(SUBSTITUTE(E895,"TRESEMME","Tresemme"),"HEAD &amp; SHOULDERS","Head &amp; Shoulders"),"ELVIVE","Elvive"),"FRUCTIS","Fructis")))</f>
        <v/>
      </c>
      <c r="R895">
        <f>COUNTIF($D$2:$D$10000,D895)&gt;1</f>
        <v/>
      </c>
      <c r="S895">
        <f>IF(H895=TRUE,"Disponible","No disponible")</f>
        <v/>
      </c>
      <c r="T895">
        <f>IF(AND(ISNUMBER(I895),I895&gt;0),ROUND(F895/I895,2),"Sin volumen")</f>
        <v/>
      </c>
      <c r="U895">
        <f>IF(F895&lt;5000,"Bajo",IF(F895&lt;15000,"Medio","Alto"))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TRIM(CLEAN(PROPER(D2)))</f>
        <v/>
      </c>
      <c r="Q2" s="12">
        <f>PROPER(TRIM(SUBSTITUTE(SUBSTITUTE(SUBSTITUTE(SUBSTITUTE(E2,"TRESEMME","Tresemme"),"HEAD &amp; SHOULDERS","Head &amp; Shoulders"),"ELVIVE","Elvive"),"FRUCTIS","Fructis")))</f>
        <v/>
      </c>
      <c r="R2" s="12">
        <f>COUNTIF($D$2:$D$10000,D2)&gt;1</f>
        <v/>
      </c>
      <c r="S2" s="12">
        <f>IF(H2=TRUE,"Disponible","No disponible")</f>
        <v/>
      </c>
      <c r="T2" s="12">
        <f>IF(AND(ISNUMBER(I2),I2&gt;0),ROUND(F2/I2,2),"Sin volumen")</f>
        <v/>
      </c>
      <c r="U2" s="12">
        <f>IF(F2&lt;5000,"Bajo",IF(F2&lt;15000,"Medio","Alto"))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TRIM(CLEAN(PROPER(D4)))</f>
        <v/>
      </c>
      <c r="Q4" s="12">
        <f>PROPER(TRIM(SUBSTITUTE(SUBSTITUTE(SUBSTITUTE(SUBSTITUTE(E4,"TRESEMME","Tresemme"),"HEAD &amp; SHOULDERS","Head &amp; Shoulders"),"ELVIVE","Elvive"),"FRUCTIS","Fructis")))</f>
        <v/>
      </c>
      <c r="R4" s="12">
        <f>COUNTIF($D$2:$D$10000,D4)&gt;1</f>
        <v/>
      </c>
      <c r="S4" s="12">
        <f>IF(H4=TRUE,"Disponible","No disponible")</f>
        <v/>
      </c>
      <c r="T4" s="12">
        <f>IF(AND(ISNUMBER(I4),I4&gt;0),ROUND(F4/I4,2),"Sin volumen")</f>
        <v/>
      </c>
      <c r="U4" s="12">
        <f>IF(F4&lt;5000,"Bajo",IF(F4&lt;15000,"Medio","Alto"))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TRIM(CLEAN(PROPER(D6)))</f>
        <v/>
      </c>
      <c r="Q6" s="12">
        <f>PROPER(TRIM(SUBSTITUTE(SUBSTITUTE(SUBSTITUTE(SUBSTITUTE(E6,"TRESEMME","Tresemme"),"HEAD &amp; SHOULDERS","Head &amp; Shoulders"),"ELVIVE","Elvive"),"FRUCTIS","Fructis")))</f>
        <v/>
      </c>
      <c r="R6" s="12">
        <f>COUNTIF($D$2:$D$10000,D6)&gt;1</f>
        <v/>
      </c>
      <c r="S6" s="12">
        <f>IF(H6=TRUE,"Disponible","No disponible")</f>
        <v/>
      </c>
      <c r="T6" s="12">
        <f>IF(AND(ISNUMBER(I6),I6&gt;0),ROUND(F6/I6,2),"Sin volumen")</f>
        <v/>
      </c>
      <c r="U6" s="12">
        <f>IF(F6&lt;5000,"Bajo",IF(F6&lt;15000,"Medio","Alto"))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TRIM(CLEAN(PROPER(D8)))</f>
        <v/>
      </c>
      <c r="Q8" s="12">
        <f>PROPER(TRIM(SUBSTITUTE(SUBSTITUTE(SUBSTITUTE(SUBSTITUTE(E8,"TRESEMME","Tresemme"),"HEAD &amp; SHOULDERS","Head &amp; Shoulders"),"ELVIVE","Elvive"),"FRUCTIS","Fructis")))</f>
        <v/>
      </c>
      <c r="R8" s="12">
        <f>COUNTIF($D$2:$D$10000,D8)&gt;1</f>
        <v/>
      </c>
      <c r="S8" s="12">
        <f>IF(H8=TRUE,"Disponible","No disponible")</f>
        <v/>
      </c>
      <c r="T8" s="12">
        <f>IF(AND(ISNUMBER(I8),I8&gt;0),ROUND(F8/I8,2),"Sin volumen")</f>
        <v/>
      </c>
      <c r="U8" s="12">
        <f>IF(F8&lt;5000,"Bajo",IF(F8&lt;15000,"Medio","Alto"))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TRIM(CLEAN(PROPER(D10)))</f>
        <v/>
      </c>
      <c r="Q10" s="12">
        <f>PROPER(TRIM(SUBSTITUTE(SUBSTITUTE(SUBSTITUTE(SUBSTITUTE(E10,"TRESEMME","Tresemme"),"HEAD &amp; SHOULDERS","Head &amp; Shoulders"),"ELVIVE","Elvive"),"FRUCTIS","Fructis")))</f>
        <v/>
      </c>
      <c r="R10" s="12">
        <f>COUNTIF($D$2:$D$10000,D10)&gt;1</f>
        <v/>
      </c>
      <c r="S10" s="12">
        <f>IF(H10=TRUE,"Disponible","No disponible")</f>
        <v/>
      </c>
      <c r="T10" s="12">
        <f>IF(AND(ISNUMBER(I10),I10&gt;0),ROUND(F10/I10,2),"Sin volumen")</f>
        <v/>
      </c>
      <c r="U10" s="12">
        <f>IF(F10&lt;5000,"Bajo",IF(F10&lt;15000,"Medio","Alto"))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TRIM(CLEAN(PROPER(D12)))</f>
        <v/>
      </c>
      <c r="Q12" s="12">
        <f>PROPER(TRIM(SUBSTITUTE(SUBSTITUTE(SUBSTITUTE(SUBSTITUTE(E12,"TRESEMME","Tresemme"),"HEAD &amp; SHOULDERS","Head &amp; Shoulders"),"ELVIVE","Elvive"),"FRUCTIS","Fructis")))</f>
        <v/>
      </c>
      <c r="R12" s="12">
        <f>COUNTIF($D$2:$D$10000,D12)&gt;1</f>
        <v/>
      </c>
      <c r="S12" s="12">
        <f>IF(H12=TRUE,"Disponible","No disponible")</f>
        <v/>
      </c>
      <c r="T12" s="12">
        <f>IF(AND(ISNUMBER(I12),I12&gt;0),ROUND(F12/I12,2),"Sin volumen")</f>
        <v/>
      </c>
      <c r="U12" s="12">
        <f>IF(F12&lt;5000,"Bajo",IF(F12&lt;15000,"Medio","Alto"))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TRIM(CLEAN(PROPER(D14)))</f>
        <v/>
      </c>
      <c r="Q14" s="12">
        <f>PROPER(TRIM(SUBSTITUTE(SUBSTITUTE(SUBSTITUTE(SUBSTITUTE(E14,"TRESEMME","Tresemme"),"HEAD &amp; SHOULDERS","Head &amp; Shoulders"),"ELVIVE","Elvive"),"FRUCTIS","Fructis")))</f>
        <v/>
      </c>
      <c r="R14" s="12">
        <f>COUNTIF($D$2:$D$10000,D14)&gt;1</f>
        <v/>
      </c>
      <c r="S14" s="12">
        <f>IF(H14=TRUE,"Disponible","No disponible")</f>
        <v/>
      </c>
      <c r="T14" s="12">
        <f>IF(AND(ISNUMBER(I14),I14&gt;0),ROUND(F14/I14,2),"Sin volumen")</f>
        <v/>
      </c>
      <c r="U14" s="12">
        <f>IF(F14&lt;5000,"Bajo",IF(F14&lt;15000,"Medio","Alto"))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TRIM(CLEAN(PROPER(D16)))</f>
        <v/>
      </c>
      <c r="Q16" s="12">
        <f>PROPER(TRIM(SUBSTITUTE(SUBSTITUTE(SUBSTITUTE(SUBSTITUTE(E16,"TRESEMME","Tresemme"),"HEAD &amp; SHOULDERS","Head &amp; Shoulders"),"ELVIVE","Elvive"),"FRUCTIS","Fructis")))</f>
        <v/>
      </c>
      <c r="R16" s="12">
        <f>COUNTIF($D$2:$D$10000,D16)&gt;1</f>
        <v/>
      </c>
      <c r="S16" s="12">
        <f>IF(H16=TRUE,"Disponible","No disponible")</f>
        <v/>
      </c>
      <c r="T16" s="12">
        <f>IF(AND(ISNUMBER(I16),I16&gt;0),ROUND(F16/I16,2),"Sin volumen")</f>
        <v/>
      </c>
      <c r="U16" s="12">
        <f>IF(F16&lt;5000,"Bajo",IF(F16&lt;15000,"Medio","Alto"))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TRIM(CLEAN(PROPER(D18)))</f>
        <v/>
      </c>
      <c r="Q18" s="12">
        <f>PROPER(TRIM(SUBSTITUTE(SUBSTITUTE(SUBSTITUTE(SUBSTITUTE(E18,"TRESEMME","Tresemme"),"HEAD &amp; SHOULDERS","Head &amp; Shoulders"),"ELVIVE","Elvive"),"FRUCTIS","Fructis")))</f>
        <v/>
      </c>
      <c r="R18" s="12">
        <f>COUNTIF($D$2:$D$10000,D18)&gt;1</f>
        <v/>
      </c>
      <c r="S18" s="12">
        <f>IF(H18=TRUE,"Disponible","No disponible")</f>
        <v/>
      </c>
      <c r="T18" s="12">
        <f>IF(AND(ISNUMBER(I18),I18&gt;0),ROUND(F18/I18,2),"Sin volumen")</f>
        <v/>
      </c>
      <c r="U18" s="12">
        <f>IF(F18&lt;5000,"Bajo",IF(F18&lt;15000,"Medio","Alto"))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TRIM(CLEAN(PROPER(D20)))</f>
        <v/>
      </c>
      <c r="Q20" s="12">
        <f>PROPER(TRIM(SUBSTITUTE(SUBSTITUTE(SUBSTITUTE(SUBSTITUTE(E20,"TRESEMME","Tresemme"),"HEAD &amp; SHOULDERS","Head &amp; Shoulders"),"ELVIVE","Elvive"),"FRUCTIS","Fructis")))</f>
        <v/>
      </c>
      <c r="R20" s="12">
        <f>COUNTIF($D$2:$D$10000,D20)&gt;1</f>
        <v/>
      </c>
      <c r="S20" s="12">
        <f>IF(H20=TRUE,"Disponible","No disponible")</f>
        <v/>
      </c>
      <c r="T20" s="12">
        <f>IF(AND(ISNUMBER(I20),I20&gt;0),ROUND(F20/I20,2),"Sin volumen")</f>
        <v/>
      </c>
      <c r="U20" s="12">
        <f>IF(F20&lt;5000,"Bajo",IF(F20&lt;15000,"Medio","Alto"))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TRIM(CLEAN(PROPER(D22)))</f>
        <v/>
      </c>
      <c r="Q22" s="12">
        <f>PROPER(TRIM(SUBSTITUTE(SUBSTITUTE(SUBSTITUTE(SUBSTITUTE(E22,"TRESEMME","Tresemme"),"HEAD &amp; SHOULDERS","Head &amp; Shoulders"),"ELVIVE","Elvive"),"FRUCTIS","Fructis")))</f>
        <v/>
      </c>
      <c r="R22" s="12">
        <f>COUNTIF($D$2:$D$10000,D22)&gt;1</f>
        <v/>
      </c>
      <c r="S22" s="12">
        <f>IF(H22=TRUE,"Disponible","No disponible")</f>
        <v/>
      </c>
      <c r="T22" s="12">
        <f>IF(AND(ISNUMBER(I22),I22&gt;0),ROUND(F22/I22,2),"Sin volumen")</f>
        <v/>
      </c>
      <c r="U22" s="12">
        <f>IF(F22&lt;5000,"Bajo",IF(F22&lt;15000,"Medio","Alto"))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TRIM(CLEAN(PROPER(D24)))</f>
        <v/>
      </c>
      <c r="Q24" s="12">
        <f>PROPER(TRIM(SUBSTITUTE(SUBSTITUTE(SUBSTITUTE(SUBSTITUTE(E24,"TRESEMME","Tresemme"),"HEAD &amp; SHOULDERS","Head &amp; Shoulders"),"ELVIVE","Elvive"),"FRUCTIS","Fructis")))</f>
        <v/>
      </c>
      <c r="R24" s="12">
        <f>COUNTIF($D$2:$D$10000,D24)&gt;1</f>
        <v/>
      </c>
      <c r="S24" s="12">
        <f>IF(H24=TRUE,"Disponible","No disponible")</f>
        <v/>
      </c>
      <c r="T24" s="12">
        <f>IF(AND(ISNUMBER(I24),I24&gt;0),ROUND(F24/I24,2),"Sin volumen")</f>
        <v/>
      </c>
      <c r="U24" s="12">
        <f>IF(F24&lt;5000,"Bajo",IF(F24&lt;15000,"Medio","Alto"))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TRIM(CLEAN(PROPER(D26)))</f>
        <v/>
      </c>
      <c r="Q26" s="12">
        <f>PROPER(TRIM(SUBSTITUTE(SUBSTITUTE(SUBSTITUTE(SUBSTITUTE(E26,"TRESEMME","Tresemme"),"HEAD &amp; SHOULDERS","Head &amp; Shoulders"),"ELVIVE","Elvive"),"FRUCTIS","Fructis")))</f>
        <v/>
      </c>
      <c r="R26" s="12">
        <f>COUNTIF($D$2:$D$10000,D26)&gt;1</f>
        <v/>
      </c>
      <c r="S26" s="12">
        <f>IF(H26=TRUE,"Disponible","No disponible")</f>
        <v/>
      </c>
      <c r="T26" s="12">
        <f>IF(AND(ISNUMBER(I26),I26&gt;0),ROUND(F26/I26,2),"Sin volumen")</f>
        <v/>
      </c>
      <c r="U26" s="12">
        <f>IF(F26&lt;5000,"Bajo",IF(F26&lt;15000,"Medio","Alto"))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TRIM(CLEAN(PROPER(D28)))</f>
        <v/>
      </c>
      <c r="Q28" s="12">
        <f>PROPER(TRIM(SUBSTITUTE(SUBSTITUTE(SUBSTITUTE(SUBSTITUTE(E28,"TRESEMME","Tresemme"),"HEAD &amp; SHOULDERS","Head &amp; Shoulders"),"ELVIVE","Elvive"),"FRUCTIS","Fructis")))</f>
        <v/>
      </c>
      <c r="R28" s="12">
        <f>COUNTIF($D$2:$D$10000,D28)&gt;1</f>
        <v/>
      </c>
      <c r="S28" s="12">
        <f>IF(H28=TRUE,"Disponible","No disponible")</f>
        <v/>
      </c>
      <c r="T28" s="12">
        <f>IF(AND(ISNUMBER(I28),I28&gt;0),ROUND(F28/I28,2),"Sin volumen")</f>
        <v/>
      </c>
      <c r="U28" s="12">
        <f>IF(F28&lt;5000,"Bajo",IF(F28&lt;15000,"Medio","Alto"))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TRIM(CLEAN(PROPER(D30)))</f>
        <v/>
      </c>
      <c r="Q30" s="12">
        <f>PROPER(TRIM(SUBSTITUTE(SUBSTITUTE(SUBSTITUTE(SUBSTITUTE(E30,"TRESEMME","Tresemme"),"HEAD &amp; SHOULDERS","Head &amp; Shoulders"),"ELVIVE","Elvive"),"FRUCTIS","Fructis")))</f>
        <v/>
      </c>
      <c r="R30" s="12">
        <f>COUNTIF($D$2:$D$10000,D30)&gt;1</f>
        <v/>
      </c>
      <c r="S30" s="12">
        <f>IF(H30=TRUE,"Disponible","No disponible")</f>
        <v/>
      </c>
      <c r="T30" s="12">
        <f>IF(AND(ISNUMBER(I30),I30&gt;0),ROUND(F30/I30,2),"Sin volumen")</f>
        <v/>
      </c>
      <c r="U30" s="12">
        <f>IF(F30&lt;5000,"Bajo",IF(F30&lt;15000,"Medio","Alto"))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TRIM(CLEAN(PROPER(D32)))</f>
        <v/>
      </c>
      <c r="Q32" s="12">
        <f>PROPER(TRIM(SUBSTITUTE(SUBSTITUTE(SUBSTITUTE(SUBSTITUTE(E32,"TRESEMME","Tresemme"),"HEAD &amp; SHOULDERS","Head &amp; Shoulders"),"ELVIVE","Elvive"),"FRUCTIS","Fructis")))</f>
        <v/>
      </c>
      <c r="R32" s="12">
        <f>COUNTIF($D$2:$D$10000,D32)&gt;1</f>
        <v/>
      </c>
      <c r="S32" s="12">
        <f>IF(H32=TRUE,"Disponible","No disponible")</f>
        <v/>
      </c>
      <c r="T32" s="12">
        <f>IF(AND(ISNUMBER(I32),I32&gt;0),ROUND(F32/I32,2),"Sin volumen")</f>
        <v/>
      </c>
      <c r="U32" s="12">
        <f>IF(F32&lt;5000,"Bajo",IF(F32&lt;15000,"Medio","Alto"))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TRIM(CLEAN(PROPER(D34)))</f>
        <v/>
      </c>
      <c r="Q34" s="12">
        <f>PROPER(TRIM(SUBSTITUTE(SUBSTITUTE(SUBSTITUTE(SUBSTITUTE(E34,"TRESEMME","Tresemme"),"HEAD &amp; SHOULDERS","Head &amp; Shoulders"),"ELVIVE","Elvive"),"FRUCTIS","Fructis")))</f>
        <v/>
      </c>
      <c r="R34" s="12">
        <f>COUNTIF($D$2:$D$10000,D34)&gt;1</f>
        <v/>
      </c>
      <c r="S34" s="12">
        <f>IF(H34=TRUE,"Disponible","No disponible")</f>
        <v/>
      </c>
      <c r="T34" s="12">
        <f>IF(AND(ISNUMBER(I34),I34&gt;0),ROUND(F34/I34,2),"Sin volumen")</f>
        <v/>
      </c>
      <c r="U34" s="12">
        <f>IF(F34&lt;5000,"Bajo",IF(F34&lt;15000,"Medio","Alto"))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TRIM(CLEAN(PROPER(D36)))</f>
        <v/>
      </c>
      <c r="Q36" s="12">
        <f>PROPER(TRIM(SUBSTITUTE(SUBSTITUTE(SUBSTITUTE(SUBSTITUTE(E36,"TRESEMME","Tresemme"),"HEAD &amp; SHOULDERS","Head &amp; Shoulders"),"ELVIVE","Elvive"),"FRUCTIS","Fructis")))</f>
        <v/>
      </c>
      <c r="R36" s="12">
        <f>COUNTIF($D$2:$D$10000,D36)&gt;1</f>
        <v/>
      </c>
      <c r="S36" s="12">
        <f>IF(H36=TRUE,"Disponible","No disponible")</f>
        <v/>
      </c>
      <c r="T36" s="12">
        <f>IF(AND(ISNUMBER(I36),I36&gt;0),ROUND(F36/I36,2),"Sin volumen")</f>
        <v/>
      </c>
      <c r="U36" s="12">
        <f>IF(F36&lt;5000,"Bajo",IF(F36&lt;15000,"Medio","Alto"))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TRIM(CLEAN(PROPER(D38)))</f>
        <v/>
      </c>
      <c r="Q38" s="12">
        <f>PROPER(TRIM(SUBSTITUTE(SUBSTITUTE(SUBSTITUTE(SUBSTITUTE(E38,"TRESEMME","Tresemme"),"HEAD &amp; SHOULDERS","Head &amp; Shoulders"),"ELVIVE","Elvive"),"FRUCTIS","Fructis")))</f>
        <v/>
      </c>
      <c r="R38" s="12">
        <f>COUNTIF($D$2:$D$10000,D38)&gt;1</f>
        <v/>
      </c>
      <c r="S38" s="12">
        <f>IF(H38=TRUE,"Disponible","No disponible")</f>
        <v/>
      </c>
      <c r="T38" s="12">
        <f>IF(AND(ISNUMBER(I38),I38&gt;0),ROUND(F38/I38,2),"Sin volumen")</f>
        <v/>
      </c>
      <c r="U38" s="12">
        <f>IF(F38&lt;5000,"Bajo",IF(F38&lt;15000,"Medio","Alto"))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TRIM(CLEAN(PROPER(D40)))</f>
        <v/>
      </c>
      <c r="Q40" s="12">
        <f>PROPER(TRIM(SUBSTITUTE(SUBSTITUTE(SUBSTITUTE(SUBSTITUTE(E40,"TRESEMME","Tresemme"),"HEAD &amp; SHOULDERS","Head &amp; Shoulders"),"ELVIVE","Elvive"),"FRUCTIS","Fructis")))</f>
        <v/>
      </c>
      <c r="R40" s="12">
        <f>COUNTIF($D$2:$D$10000,D40)&gt;1</f>
        <v/>
      </c>
      <c r="S40" s="12">
        <f>IF(H40=TRUE,"Disponible","No disponible")</f>
        <v/>
      </c>
      <c r="T40" s="12">
        <f>IF(AND(ISNUMBER(I40),I40&gt;0),ROUND(F40/I40,2),"Sin volumen")</f>
        <v/>
      </c>
      <c r="U40" s="12">
        <f>IF(F40&lt;5000,"Bajo",IF(F40&lt;15000,"Medio","Alto"))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TRIM(CLEAN(PROPER(D42)))</f>
        <v/>
      </c>
      <c r="Q42" s="12">
        <f>PROPER(TRIM(SUBSTITUTE(SUBSTITUTE(SUBSTITUTE(SUBSTITUTE(E42,"TRESEMME","Tresemme"),"HEAD &amp; SHOULDERS","Head &amp; Shoulders"),"ELVIVE","Elvive"),"FRUCTIS","Fructis")))</f>
        <v/>
      </c>
      <c r="R42" s="12">
        <f>COUNTIF($D$2:$D$10000,D42)&gt;1</f>
        <v/>
      </c>
      <c r="S42" s="12">
        <f>IF(H42=TRUE,"Disponible","No disponible")</f>
        <v/>
      </c>
      <c r="T42" s="12">
        <f>IF(AND(ISNUMBER(I42),I42&gt;0),ROUND(F42/I42,2),"Sin volumen")</f>
        <v/>
      </c>
      <c r="U42" s="12">
        <f>IF(F42&lt;5000,"Bajo",IF(F42&lt;15000,"Medio","Alto"))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TRIM(CLEAN(PROPER(D44)))</f>
        <v/>
      </c>
      <c r="Q44" s="12">
        <f>PROPER(TRIM(SUBSTITUTE(SUBSTITUTE(SUBSTITUTE(SUBSTITUTE(E44,"TRESEMME","Tresemme"),"HEAD &amp; SHOULDERS","Head &amp; Shoulders"),"ELVIVE","Elvive"),"FRUCTIS","Fructis")))</f>
        <v/>
      </c>
      <c r="R44" s="12">
        <f>COUNTIF($D$2:$D$10000,D44)&gt;1</f>
        <v/>
      </c>
      <c r="S44" s="12">
        <f>IF(H44=TRUE,"Disponible","No disponible")</f>
        <v/>
      </c>
      <c r="T44" s="12">
        <f>IF(AND(ISNUMBER(I44),I44&gt;0),ROUND(F44/I44,2),"Sin volumen")</f>
        <v/>
      </c>
      <c r="U44" s="12">
        <f>IF(F44&lt;5000,"Bajo",IF(F44&lt;15000,"Medio","Alto"))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TRIM(CLEAN(PROPER(D46)))</f>
        <v/>
      </c>
      <c r="Q46" s="12">
        <f>PROPER(TRIM(SUBSTITUTE(SUBSTITUTE(SUBSTITUTE(SUBSTITUTE(E46,"TRESEMME","Tresemme"),"HEAD &amp; SHOULDERS","Head &amp; Shoulders"),"ELVIVE","Elvive"),"FRUCTIS","Fructis")))</f>
        <v/>
      </c>
      <c r="R46" s="12">
        <f>COUNTIF($D$2:$D$10000,D46)&gt;1</f>
        <v/>
      </c>
      <c r="S46" s="12">
        <f>IF(H46=TRUE,"Disponible","No disponible")</f>
        <v/>
      </c>
      <c r="T46" s="12">
        <f>IF(AND(ISNUMBER(I46),I46&gt;0),ROUND(F46/I46,2),"Sin volumen")</f>
        <v/>
      </c>
      <c r="U46" s="12">
        <f>IF(F46&lt;5000,"Bajo",IF(F46&lt;15000,"Medio","Alto"))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TRIM(CLEAN(PROPER(D48)))</f>
        <v/>
      </c>
      <c r="Q48" s="12">
        <f>PROPER(TRIM(SUBSTITUTE(SUBSTITUTE(SUBSTITUTE(SUBSTITUTE(E48,"TRESEMME","Tresemme"),"HEAD &amp; SHOULDERS","Head &amp; Shoulders"),"ELVIVE","Elvive"),"FRUCTIS","Fructis")))</f>
        <v/>
      </c>
      <c r="R48" s="12">
        <f>COUNTIF($D$2:$D$10000,D48)&gt;1</f>
        <v/>
      </c>
      <c r="S48" s="12">
        <f>IF(H48=TRUE,"Disponible","No disponible")</f>
        <v/>
      </c>
      <c r="T48" s="12">
        <f>IF(AND(ISNUMBER(I48),I48&gt;0),ROUND(F48/I48,2),"Sin volumen")</f>
        <v/>
      </c>
      <c r="U48" s="12">
        <f>IF(F48&lt;5000,"Bajo",IF(F48&lt;15000,"Medio","Alto"))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TRIM(CLEAN(PROPER(D50)))</f>
        <v/>
      </c>
      <c r="Q50" s="12">
        <f>PROPER(TRIM(SUBSTITUTE(SUBSTITUTE(SUBSTITUTE(SUBSTITUTE(E50,"TRESEMME","Tresemme"),"HEAD &amp; SHOULDERS","Head &amp; Shoulders"),"ELVIVE","Elvive"),"FRUCTIS","Fructis")))</f>
        <v/>
      </c>
      <c r="R50" s="12">
        <f>COUNTIF($D$2:$D$10000,D50)&gt;1</f>
        <v/>
      </c>
      <c r="S50" s="12">
        <f>IF(H50=TRUE,"Disponible","No disponible")</f>
        <v/>
      </c>
      <c r="T50" s="12">
        <f>IF(AND(ISNUMBER(I50),I50&gt;0),ROUND(F50/I50,2),"Sin volumen")</f>
        <v/>
      </c>
      <c r="U50" s="12">
        <f>IF(F50&lt;5000,"Bajo",IF(F50&lt;15000,"Medio","Alto"))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TRIM(CLEAN(PROPER(D52)))</f>
        <v/>
      </c>
      <c r="Q52" s="12">
        <f>PROPER(TRIM(SUBSTITUTE(SUBSTITUTE(SUBSTITUTE(SUBSTITUTE(E52,"TRESEMME","Tresemme"),"HEAD &amp; SHOULDERS","Head &amp; Shoulders"),"ELVIVE","Elvive"),"FRUCTIS","Fructis")))</f>
        <v/>
      </c>
      <c r="R52" s="12">
        <f>COUNTIF($D$2:$D$10000,D52)&gt;1</f>
        <v/>
      </c>
      <c r="S52" s="12">
        <f>IF(H52=TRUE,"Disponible","No disponible")</f>
        <v/>
      </c>
      <c r="T52" s="12">
        <f>IF(AND(ISNUMBER(I52),I52&gt;0),ROUND(F52/I52,2),"Sin volumen")</f>
        <v/>
      </c>
      <c r="U52" s="12">
        <f>IF(F52&lt;5000,"Bajo",IF(F52&lt;15000,"Medio","Alto"))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TRIM(CLEAN(PROPER(D54)))</f>
        <v/>
      </c>
      <c r="Q54" s="12">
        <f>PROPER(TRIM(SUBSTITUTE(SUBSTITUTE(SUBSTITUTE(SUBSTITUTE(E54,"TRESEMME","Tresemme"),"HEAD &amp; SHOULDERS","Head &amp; Shoulders"),"ELVIVE","Elvive"),"FRUCTIS","Fructis")))</f>
        <v/>
      </c>
      <c r="R54" s="12">
        <f>COUNTIF($D$2:$D$10000,D54)&gt;1</f>
        <v/>
      </c>
      <c r="S54" s="12">
        <f>IF(H54=TRUE,"Disponible","No disponible")</f>
        <v/>
      </c>
      <c r="T54" s="12">
        <f>IF(AND(ISNUMBER(I54),I54&gt;0),ROUND(F54/I54,2),"Sin volumen")</f>
        <v/>
      </c>
      <c r="U54" s="12">
        <f>IF(F54&lt;5000,"Bajo",IF(F54&lt;15000,"Medio","Alto"))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TRIM(CLEAN(PROPER(D56)))</f>
        <v/>
      </c>
      <c r="Q56" s="12">
        <f>PROPER(TRIM(SUBSTITUTE(SUBSTITUTE(SUBSTITUTE(SUBSTITUTE(E56,"TRESEMME","Tresemme"),"HEAD &amp; SHOULDERS","Head &amp; Shoulders"),"ELVIVE","Elvive"),"FRUCTIS","Fructis")))</f>
        <v/>
      </c>
      <c r="R56" s="12">
        <f>COUNTIF($D$2:$D$10000,D56)&gt;1</f>
        <v/>
      </c>
      <c r="S56" s="12">
        <f>IF(H56=TRUE,"Disponible","No disponible")</f>
        <v/>
      </c>
      <c r="T56" s="12">
        <f>IF(AND(ISNUMBER(I56),I56&gt;0),ROUND(F56/I56,2),"Sin volumen")</f>
        <v/>
      </c>
      <c r="U56" s="12">
        <f>IF(F56&lt;5000,"Bajo",IF(F56&lt;15000,"Medio","Alto"))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TRIM(CLEAN(PROPER(D58)))</f>
        <v/>
      </c>
      <c r="Q58" s="12">
        <f>PROPER(TRIM(SUBSTITUTE(SUBSTITUTE(SUBSTITUTE(SUBSTITUTE(E58,"TRESEMME","Tresemme"),"HEAD &amp; SHOULDERS","Head &amp; Shoulders"),"ELVIVE","Elvive"),"FRUCTIS","Fructis")))</f>
        <v/>
      </c>
      <c r="R58" s="12">
        <f>COUNTIF($D$2:$D$10000,D58)&gt;1</f>
        <v/>
      </c>
      <c r="S58" s="12">
        <f>IF(H58=TRUE,"Disponible","No disponible")</f>
        <v/>
      </c>
      <c r="T58" s="12">
        <f>IF(AND(ISNUMBER(I58),I58&gt;0),ROUND(F58/I58,2),"Sin volumen")</f>
        <v/>
      </c>
      <c r="U58" s="12">
        <f>IF(F58&lt;5000,"Bajo",IF(F58&lt;15000,"Medio","Alto"))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TRIM(CLEAN(PROPER(D60)))</f>
        <v/>
      </c>
      <c r="Q60" s="12">
        <f>PROPER(TRIM(SUBSTITUTE(SUBSTITUTE(SUBSTITUTE(SUBSTITUTE(E60,"TRESEMME","Tresemme"),"HEAD &amp; SHOULDERS","Head &amp; Shoulders"),"ELVIVE","Elvive"),"FRUCTIS","Fructis")))</f>
        <v/>
      </c>
      <c r="R60" s="12">
        <f>COUNTIF($D$2:$D$10000,D60)&gt;1</f>
        <v/>
      </c>
      <c r="S60" s="12">
        <f>IF(H60=TRUE,"Disponible","No disponible")</f>
        <v/>
      </c>
      <c r="T60" s="12">
        <f>IF(AND(ISNUMBER(I60),I60&gt;0),ROUND(F60/I60,2),"Sin volumen")</f>
        <v/>
      </c>
      <c r="U60" s="12">
        <f>IF(F60&lt;5000,"Bajo",IF(F60&lt;15000,"Medio","Alto"))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TRIM(CLEAN(PROPER(D62)))</f>
        <v/>
      </c>
      <c r="Q62" s="12">
        <f>PROPER(TRIM(SUBSTITUTE(SUBSTITUTE(SUBSTITUTE(SUBSTITUTE(E62,"TRESEMME","Tresemme"),"HEAD &amp; SHOULDERS","Head &amp; Shoulders"),"ELVIVE","Elvive"),"FRUCTIS","Fructis")))</f>
        <v/>
      </c>
      <c r="R62" s="12">
        <f>COUNTIF($D$2:$D$10000,D62)&gt;1</f>
        <v/>
      </c>
      <c r="S62" s="12">
        <f>IF(H62=TRUE,"Disponible","No disponible")</f>
        <v/>
      </c>
      <c r="T62" s="12">
        <f>IF(AND(ISNUMBER(I62),I62&gt;0),ROUND(F62/I62,2),"Sin volumen")</f>
        <v/>
      </c>
      <c r="U62" s="12">
        <f>IF(F62&lt;5000,"Bajo",IF(F62&lt;15000,"Medio","Alto"))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TRIM(CLEAN(PROPER(D64)))</f>
        <v/>
      </c>
      <c r="Q64" s="12">
        <f>PROPER(TRIM(SUBSTITUTE(SUBSTITUTE(SUBSTITUTE(SUBSTITUTE(E64,"TRESEMME","Tresemme"),"HEAD &amp; SHOULDERS","Head &amp; Shoulders"),"ELVIVE","Elvive"),"FRUCTIS","Fructis")))</f>
        <v/>
      </c>
      <c r="R64" s="12">
        <f>COUNTIF($D$2:$D$10000,D64)&gt;1</f>
        <v/>
      </c>
      <c r="S64" s="12">
        <f>IF(H64=TRUE,"Disponible","No disponible")</f>
        <v/>
      </c>
      <c r="T64" s="12">
        <f>IF(AND(ISNUMBER(I64),I64&gt;0),ROUND(F64/I64,2),"Sin volumen")</f>
        <v/>
      </c>
      <c r="U64" s="12">
        <f>IF(F64&lt;5000,"Bajo",IF(F64&lt;15000,"Medio","Alto"))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TRIM(CLEAN(PROPER(D66)))</f>
        <v/>
      </c>
      <c r="Q66" s="12">
        <f>PROPER(TRIM(SUBSTITUTE(SUBSTITUTE(SUBSTITUTE(SUBSTITUTE(E66,"TRESEMME","Tresemme"),"HEAD &amp; SHOULDERS","Head &amp; Shoulders"),"ELVIVE","Elvive"),"FRUCTIS","Fructis")))</f>
        <v/>
      </c>
      <c r="R66" s="12">
        <f>COUNTIF($D$2:$D$10000,D66)&gt;1</f>
        <v/>
      </c>
      <c r="S66" s="12">
        <f>IF(H66=TRUE,"Disponible","No disponible")</f>
        <v/>
      </c>
      <c r="T66" s="12">
        <f>IF(AND(ISNUMBER(I66),I66&gt;0),ROUND(F66/I66,2),"Sin volumen")</f>
        <v/>
      </c>
      <c r="U66" s="12">
        <f>IF(F66&lt;5000,"Bajo",IF(F66&lt;15000,"Medio","Alto"))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TRIM(CLEAN(PROPER(D68)))</f>
        <v/>
      </c>
      <c r="Q68" s="12">
        <f>PROPER(TRIM(SUBSTITUTE(SUBSTITUTE(SUBSTITUTE(SUBSTITUTE(E68,"TRESEMME","Tresemme"),"HEAD &amp; SHOULDERS","Head &amp; Shoulders"),"ELVIVE","Elvive"),"FRUCTIS","Fructis")))</f>
        <v/>
      </c>
      <c r="R68" s="12">
        <f>COUNTIF($D$2:$D$10000,D68)&gt;1</f>
        <v/>
      </c>
      <c r="S68" s="12">
        <f>IF(H68=TRUE,"Disponible","No disponible")</f>
        <v/>
      </c>
      <c r="T68" s="12">
        <f>IF(AND(ISNUMBER(I68),I68&gt;0),ROUND(F68/I68,2),"Sin volumen")</f>
        <v/>
      </c>
      <c r="U68" s="12">
        <f>IF(F68&lt;5000,"Bajo",IF(F68&lt;15000,"Medio","Alto"))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TRIM(CLEAN(PROPER(D70)))</f>
        <v/>
      </c>
      <c r="Q70" s="12">
        <f>PROPER(TRIM(SUBSTITUTE(SUBSTITUTE(SUBSTITUTE(SUBSTITUTE(E70,"TRESEMME","Tresemme"),"HEAD &amp; SHOULDERS","Head &amp; Shoulders"),"ELVIVE","Elvive"),"FRUCTIS","Fructis")))</f>
        <v/>
      </c>
      <c r="R70" s="12">
        <f>COUNTIF($D$2:$D$10000,D70)&gt;1</f>
        <v/>
      </c>
      <c r="S70" s="12">
        <f>IF(H70=TRUE,"Disponible","No disponible")</f>
        <v/>
      </c>
      <c r="T70" s="12">
        <f>IF(AND(ISNUMBER(I70),I70&gt;0),ROUND(F70/I70,2),"Sin volumen")</f>
        <v/>
      </c>
      <c r="U70" s="12">
        <f>IF(F70&lt;5000,"Bajo",IF(F70&lt;15000,"Medio","Alto"))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TRIM(CLEAN(PROPER(D72)))</f>
        <v/>
      </c>
      <c r="Q72" s="12">
        <f>PROPER(TRIM(SUBSTITUTE(SUBSTITUTE(SUBSTITUTE(SUBSTITUTE(E72,"TRESEMME","Tresemme"),"HEAD &amp; SHOULDERS","Head &amp; Shoulders"),"ELVIVE","Elvive"),"FRUCTIS","Fructis")))</f>
        <v/>
      </c>
      <c r="R72" s="12">
        <f>COUNTIF($D$2:$D$10000,D72)&gt;1</f>
        <v/>
      </c>
      <c r="S72" s="12">
        <f>IF(H72=TRUE,"Disponible","No disponible")</f>
        <v/>
      </c>
      <c r="T72" s="12">
        <f>IF(AND(ISNUMBER(I72),I72&gt;0),ROUND(F72/I72,2),"Sin volumen")</f>
        <v/>
      </c>
      <c r="U72" s="12">
        <f>IF(F72&lt;5000,"Bajo",IF(F72&lt;15000,"Medio","Alto"))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TRIM(CLEAN(PROPER(D74)))</f>
        <v/>
      </c>
      <c r="Q74" s="12">
        <f>PROPER(TRIM(SUBSTITUTE(SUBSTITUTE(SUBSTITUTE(SUBSTITUTE(E74,"TRESEMME","Tresemme"),"HEAD &amp; SHOULDERS","Head &amp; Shoulders"),"ELVIVE","Elvive"),"FRUCTIS","Fructis")))</f>
        <v/>
      </c>
      <c r="R74" s="12">
        <f>COUNTIF($D$2:$D$10000,D74)&gt;1</f>
        <v/>
      </c>
      <c r="S74" s="12">
        <f>IF(H74=TRUE,"Disponible","No disponible")</f>
        <v/>
      </c>
      <c r="T74" s="12">
        <f>IF(AND(ISNUMBER(I74),I74&gt;0),ROUND(F74/I74,2),"Sin volumen")</f>
        <v/>
      </c>
      <c r="U74" s="12">
        <f>IF(F74&lt;5000,"Bajo",IF(F74&lt;15000,"Medio","Alto"))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TRIM(CLEAN(PROPER(D76)))</f>
        <v/>
      </c>
      <c r="Q76" s="12">
        <f>PROPER(TRIM(SUBSTITUTE(SUBSTITUTE(SUBSTITUTE(SUBSTITUTE(E76,"TRESEMME","Tresemme"),"HEAD &amp; SHOULDERS","Head &amp; Shoulders"),"ELVIVE","Elvive"),"FRUCTIS","Fructis")))</f>
        <v/>
      </c>
      <c r="R76" s="12">
        <f>COUNTIF($D$2:$D$10000,D76)&gt;1</f>
        <v/>
      </c>
      <c r="S76" s="12">
        <f>IF(H76=TRUE,"Disponible","No disponible")</f>
        <v/>
      </c>
      <c r="T76" s="12">
        <f>IF(AND(ISNUMBER(I76),I76&gt;0),ROUND(F76/I76,2),"Sin volumen")</f>
        <v/>
      </c>
      <c r="U76" s="12">
        <f>IF(F76&lt;5000,"Bajo",IF(F76&lt;15000,"Medio","Alto"))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TRIM(CLEAN(PROPER(D78)))</f>
        <v/>
      </c>
      <c r="Q78" s="12">
        <f>PROPER(TRIM(SUBSTITUTE(SUBSTITUTE(SUBSTITUTE(SUBSTITUTE(E78,"TRESEMME","Tresemme"),"HEAD &amp; SHOULDERS","Head &amp; Shoulders"),"ELVIVE","Elvive"),"FRUCTIS","Fructis")))</f>
        <v/>
      </c>
      <c r="R78" s="12">
        <f>COUNTIF($D$2:$D$10000,D78)&gt;1</f>
        <v/>
      </c>
      <c r="S78" s="12">
        <f>IF(H78=TRUE,"Disponible","No disponible")</f>
        <v/>
      </c>
      <c r="T78" s="12">
        <f>IF(AND(ISNUMBER(I78),I78&gt;0),ROUND(F78/I78,2),"Sin volumen")</f>
        <v/>
      </c>
      <c r="U78" s="12">
        <f>IF(F78&lt;5000,"Bajo",IF(F78&lt;15000,"Medio","Alto"))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TRIM(CLEAN(PROPER(D80)))</f>
        <v/>
      </c>
      <c r="Q80" s="12">
        <f>PROPER(TRIM(SUBSTITUTE(SUBSTITUTE(SUBSTITUTE(SUBSTITUTE(E80,"TRESEMME","Tresemme"),"HEAD &amp; SHOULDERS","Head &amp; Shoulders"),"ELVIVE","Elvive"),"FRUCTIS","Fructis")))</f>
        <v/>
      </c>
      <c r="R80" s="12">
        <f>COUNTIF($D$2:$D$10000,D80)&gt;1</f>
        <v/>
      </c>
      <c r="S80" s="12">
        <f>IF(H80=TRUE,"Disponible","No disponible")</f>
        <v/>
      </c>
      <c r="T80" s="12">
        <f>IF(AND(ISNUMBER(I80),I80&gt;0),ROUND(F80/I80,2),"Sin volumen")</f>
        <v/>
      </c>
      <c r="U80" s="12">
        <f>IF(F80&lt;5000,"Bajo",IF(F80&lt;15000,"Medio","Alto"))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TRIM(CLEAN(PROPER(D82)))</f>
        <v/>
      </c>
      <c r="Q82" s="12">
        <f>PROPER(TRIM(SUBSTITUTE(SUBSTITUTE(SUBSTITUTE(SUBSTITUTE(E82,"TRESEMME","Tresemme"),"HEAD &amp; SHOULDERS","Head &amp; Shoulders"),"ELVIVE","Elvive"),"FRUCTIS","Fructis")))</f>
        <v/>
      </c>
      <c r="R82" s="12">
        <f>COUNTIF($D$2:$D$10000,D82)&gt;1</f>
        <v/>
      </c>
      <c r="S82" s="12">
        <f>IF(H82=TRUE,"Disponible","No disponible")</f>
        <v/>
      </c>
      <c r="T82" s="12">
        <f>IF(AND(ISNUMBER(I82),I82&gt;0),ROUND(F82/I82,2),"Sin volumen")</f>
        <v/>
      </c>
      <c r="U82" s="12">
        <f>IF(F82&lt;5000,"Bajo",IF(F82&lt;15000,"Medio","Alto"))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TRIM(CLEAN(PROPER(D84)))</f>
        <v/>
      </c>
      <c r="Q84" s="12">
        <f>PROPER(TRIM(SUBSTITUTE(SUBSTITUTE(SUBSTITUTE(SUBSTITUTE(E84,"TRESEMME","Tresemme"),"HEAD &amp; SHOULDERS","Head &amp; Shoulders"),"ELVIVE","Elvive"),"FRUCTIS","Fructis")))</f>
        <v/>
      </c>
      <c r="R84" s="12">
        <f>COUNTIF($D$2:$D$10000,D84)&gt;1</f>
        <v/>
      </c>
      <c r="S84" s="12">
        <f>IF(H84=TRUE,"Disponible","No disponible")</f>
        <v/>
      </c>
      <c r="T84" s="12">
        <f>IF(AND(ISNUMBER(I84),I84&gt;0),ROUND(F84/I84,2),"Sin volumen")</f>
        <v/>
      </c>
      <c r="U84" s="12">
        <f>IF(F84&lt;5000,"Bajo",IF(F84&lt;15000,"Medio","Alto"))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TRIM(CLEAN(PROPER(D86)))</f>
        <v/>
      </c>
      <c r="Q86" s="12">
        <f>PROPER(TRIM(SUBSTITUTE(SUBSTITUTE(SUBSTITUTE(SUBSTITUTE(E86,"TRESEMME","Tresemme"),"HEAD &amp; SHOULDERS","Head &amp; Shoulders"),"ELVIVE","Elvive"),"FRUCTIS","Fructis")))</f>
        <v/>
      </c>
      <c r="R86" s="12">
        <f>COUNTIF($D$2:$D$10000,D86)&gt;1</f>
        <v/>
      </c>
      <c r="S86" s="12">
        <f>IF(H86=TRUE,"Disponible","No disponible")</f>
        <v/>
      </c>
      <c r="T86" s="12">
        <f>IF(AND(ISNUMBER(I86),I86&gt;0),ROUND(F86/I86,2),"Sin volumen")</f>
        <v/>
      </c>
      <c r="U86" s="12">
        <f>IF(F86&lt;5000,"Bajo",IF(F86&lt;15000,"Medio","Alto"))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TRIM(CLEAN(PROPER(D88)))</f>
        <v/>
      </c>
      <c r="Q88" s="12">
        <f>PROPER(TRIM(SUBSTITUTE(SUBSTITUTE(SUBSTITUTE(SUBSTITUTE(E88,"TRESEMME","Tresemme"),"HEAD &amp; SHOULDERS","Head &amp; Shoulders"),"ELVIVE","Elvive"),"FRUCTIS","Fructis")))</f>
        <v/>
      </c>
      <c r="R88" s="12">
        <f>COUNTIF($D$2:$D$10000,D88)&gt;1</f>
        <v/>
      </c>
      <c r="S88" s="12">
        <f>IF(H88=TRUE,"Disponible","No disponible")</f>
        <v/>
      </c>
      <c r="T88" s="12">
        <f>IF(AND(ISNUMBER(I88),I88&gt;0),ROUND(F88/I88,2),"Sin volumen")</f>
        <v/>
      </c>
      <c r="U88" s="12">
        <f>IF(F88&lt;5000,"Bajo",IF(F88&lt;15000,"Medio","Alto"))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TRIM(CLEAN(PROPER(D90)))</f>
        <v/>
      </c>
      <c r="Q90" s="12">
        <f>PROPER(TRIM(SUBSTITUTE(SUBSTITUTE(SUBSTITUTE(SUBSTITUTE(E90,"TRESEMME","Tresemme"),"HEAD &amp; SHOULDERS","Head &amp; Shoulders"),"ELVIVE","Elvive"),"FRUCTIS","Fructis")))</f>
        <v/>
      </c>
      <c r="R90" s="12">
        <f>COUNTIF($D$2:$D$10000,D90)&gt;1</f>
        <v/>
      </c>
      <c r="S90" s="12">
        <f>IF(H90=TRUE,"Disponible","No disponible")</f>
        <v/>
      </c>
      <c r="T90" s="12">
        <f>IF(AND(ISNUMBER(I90),I90&gt;0),ROUND(F90/I90,2),"Sin volumen")</f>
        <v/>
      </c>
      <c r="U90" s="12">
        <f>IF(F90&lt;5000,"Bajo",IF(F90&lt;15000,"Medio","Alto"))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TRIM(CLEAN(PROPER(D92)))</f>
        <v/>
      </c>
      <c r="Q92" s="12">
        <f>PROPER(TRIM(SUBSTITUTE(SUBSTITUTE(SUBSTITUTE(SUBSTITUTE(E92,"TRESEMME","Tresemme"),"HEAD &amp; SHOULDERS","Head &amp; Shoulders"),"ELVIVE","Elvive"),"FRUCTIS","Fructis")))</f>
        <v/>
      </c>
      <c r="R92" s="12">
        <f>COUNTIF($D$2:$D$10000,D92)&gt;1</f>
        <v/>
      </c>
      <c r="S92" s="12">
        <f>IF(H92=TRUE,"Disponible","No disponible")</f>
        <v/>
      </c>
      <c r="T92" s="12">
        <f>IF(AND(ISNUMBER(I92),I92&gt;0),ROUND(F92/I92,2),"Sin volumen")</f>
        <v/>
      </c>
      <c r="U92" s="12">
        <f>IF(F92&lt;5000,"Bajo",IF(F92&lt;15000,"Medio","Alto"))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TRIM(CLEAN(PROPER(D94)))</f>
        <v/>
      </c>
      <c r="Q94" s="12">
        <f>PROPER(TRIM(SUBSTITUTE(SUBSTITUTE(SUBSTITUTE(SUBSTITUTE(E94,"TRESEMME","Tresemme"),"HEAD &amp; SHOULDERS","Head &amp; Shoulders"),"ELVIVE","Elvive"),"FRUCTIS","Fructis")))</f>
        <v/>
      </c>
      <c r="R94" s="12">
        <f>COUNTIF($D$2:$D$10000,D94)&gt;1</f>
        <v/>
      </c>
      <c r="S94" s="12">
        <f>IF(H94=TRUE,"Disponible","No disponible")</f>
        <v/>
      </c>
      <c r="T94" s="12">
        <f>IF(AND(ISNUMBER(I94),I94&gt;0),ROUND(F94/I94,2),"Sin volumen")</f>
        <v/>
      </c>
      <c r="U94" s="12">
        <f>IF(F94&lt;5000,"Bajo",IF(F94&lt;15000,"Medio","Alto"))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TRIM(CLEAN(PROPER(D96)))</f>
        <v/>
      </c>
      <c r="Q96" s="12">
        <f>PROPER(TRIM(SUBSTITUTE(SUBSTITUTE(SUBSTITUTE(SUBSTITUTE(E96,"TRESEMME","Tresemme"),"HEAD &amp; SHOULDERS","Head &amp; Shoulders"),"ELVIVE","Elvive"),"FRUCTIS","Fructis")))</f>
        <v/>
      </c>
      <c r="R96" s="12">
        <f>COUNTIF($D$2:$D$10000,D96)&gt;1</f>
        <v/>
      </c>
      <c r="S96" s="12">
        <f>IF(H96=TRUE,"Disponible","No disponible")</f>
        <v/>
      </c>
      <c r="T96" s="12">
        <f>IF(AND(ISNUMBER(I96),I96&gt;0),ROUND(F96/I96,2),"Sin volumen")</f>
        <v/>
      </c>
      <c r="U96" s="12">
        <f>IF(F96&lt;5000,"Bajo",IF(F96&lt;15000,"Medio","Alto"))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TRIM(CLEAN(PROPER(D98)))</f>
        <v/>
      </c>
      <c r="Q98" s="12">
        <f>PROPER(TRIM(SUBSTITUTE(SUBSTITUTE(SUBSTITUTE(SUBSTITUTE(E98,"TRESEMME","Tresemme"),"HEAD &amp; SHOULDERS","Head &amp; Shoulders"),"ELVIVE","Elvive"),"FRUCTIS","Fructis")))</f>
        <v/>
      </c>
      <c r="R98" s="12">
        <f>COUNTIF($D$2:$D$10000,D98)&gt;1</f>
        <v/>
      </c>
      <c r="S98" s="12">
        <f>IF(H98=TRUE,"Disponible","No disponible")</f>
        <v/>
      </c>
      <c r="T98" s="12">
        <f>IF(AND(ISNUMBER(I98),I98&gt;0),ROUND(F98/I98,2),"Sin volumen")</f>
        <v/>
      </c>
      <c r="U98" s="12">
        <f>IF(F98&lt;5000,"Bajo",IF(F98&lt;15000,"Medio","Alto"))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TRIM(CLEAN(PROPER(D100)))</f>
        <v/>
      </c>
      <c r="Q100" s="12">
        <f>PROPER(TRIM(SUBSTITUTE(SUBSTITUTE(SUBSTITUTE(SUBSTITUTE(E100,"TRESEMME","Tresemme"),"HEAD &amp; SHOULDERS","Head &amp; Shoulders"),"ELVIVE","Elvive"),"FRUCTIS","Fructis")))</f>
        <v/>
      </c>
      <c r="R100" s="12">
        <f>COUNTIF($D$2:$D$10000,D100)&gt;1</f>
        <v/>
      </c>
      <c r="S100" s="12">
        <f>IF(H100=TRUE,"Disponible","No disponible")</f>
        <v/>
      </c>
      <c r="T100" s="12">
        <f>IF(AND(ISNUMBER(I100),I100&gt;0),ROUND(F100/I100,2),"Sin volumen")</f>
        <v/>
      </c>
      <c r="U100" s="12">
        <f>IF(F100&lt;5000,"Bajo",IF(F100&lt;15000,"Medio","Alto"))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TRIM(CLEAN(PROPER(D102)))</f>
        <v/>
      </c>
      <c r="Q102" s="12">
        <f>PROPER(TRIM(SUBSTITUTE(SUBSTITUTE(SUBSTITUTE(SUBSTITUTE(E102,"TRESEMME","Tresemme"),"HEAD &amp; SHOULDERS","Head &amp; Shoulders"),"ELVIVE","Elvive"),"FRUCTIS","Fructis")))</f>
        <v/>
      </c>
      <c r="R102" s="12">
        <f>COUNTIF($D$2:$D$10000,D102)&gt;1</f>
        <v/>
      </c>
      <c r="S102" s="12">
        <f>IF(H102=TRUE,"Disponible","No disponible")</f>
        <v/>
      </c>
      <c r="T102" s="12">
        <f>IF(AND(ISNUMBER(I102),I102&gt;0),ROUND(F102/I102,2),"Sin volumen")</f>
        <v/>
      </c>
      <c r="U102" s="12">
        <f>IF(F102&lt;5000,"Bajo",IF(F102&lt;15000,"Medio","Alto"))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TRIM(CLEAN(PROPER(D104)))</f>
        <v/>
      </c>
      <c r="Q104" s="12">
        <f>PROPER(TRIM(SUBSTITUTE(SUBSTITUTE(SUBSTITUTE(SUBSTITUTE(E104,"TRESEMME","Tresemme"),"HEAD &amp; SHOULDERS","Head &amp; Shoulders"),"ELVIVE","Elvive"),"FRUCTIS","Fructis")))</f>
        <v/>
      </c>
      <c r="R104" s="12">
        <f>COUNTIF($D$2:$D$10000,D104)&gt;1</f>
        <v/>
      </c>
      <c r="S104" s="12">
        <f>IF(H104=TRUE,"Disponible","No disponible")</f>
        <v/>
      </c>
      <c r="T104" s="12">
        <f>IF(AND(ISNUMBER(I104),I104&gt;0),ROUND(F104/I104,2),"Sin volumen")</f>
        <v/>
      </c>
      <c r="U104" s="12">
        <f>IF(F104&lt;5000,"Bajo",IF(F104&lt;15000,"Medio","Alto"))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TRIM(CLEAN(PROPER(D106)))</f>
        <v/>
      </c>
      <c r="Q106" s="12">
        <f>PROPER(TRIM(SUBSTITUTE(SUBSTITUTE(SUBSTITUTE(SUBSTITUTE(E106,"TRESEMME","Tresemme"),"HEAD &amp; SHOULDERS","Head &amp; Shoulders"),"ELVIVE","Elvive"),"FRUCTIS","Fructis")))</f>
        <v/>
      </c>
      <c r="R106" s="12">
        <f>COUNTIF($D$2:$D$10000,D106)&gt;1</f>
        <v/>
      </c>
      <c r="S106" s="12">
        <f>IF(H106=TRUE,"Disponible","No disponible")</f>
        <v/>
      </c>
      <c r="T106" s="12">
        <f>IF(AND(ISNUMBER(I106),I106&gt;0),ROUND(F106/I106,2),"Sin volumen")</f>
        <v/>
      </c>
      <c r="U106" s="12">
        <f>IF(F106&lt;5000,"Bajo",IF(F106&lt;15000,"Medio","Alto"))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TRIM(CLEAN(PROPER(D108)))</f>
        <v/>
      </c>
      <c r="Q108" s="12">
        <f>PROPER(TRIM(SUBSTITUTE(SUBSTITUTE(SUBSTITUTE(SUBSTITUTE(E108,"TRESEMME","Tresemme"),"HEAD &amp; SHOULDERS","Head &amp; Shoulders"),"ELVIVE","Elvive"),"FRUCTIS","Fructis")))</f>
        <v/>
      </c>
      <c r="R108" s="12">
        <f>COUNTIF($D$2:$D$10000,D108)&gt;1</f>
        <v/>
      </c>
      <c r="S108" s="12">
        <f>IF(H108=TRUE,"Disponible","No disponible")</f>
        <v/>
      </c>
      <c r="T108" s="12">
        <f>IF(AND(ISNUMBER(I108),I108&gt;0),ROUND(F108/I108,2),"Sin volumen")</f>
        <v/>
      </c>
      <c r="U108" s="12">
        <f>IF(F108&lt;5000,"Bajo",IF(F108&lt;15000,"Medio","Alto"))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TRIM(CLEAN(PROPER(D110)))</f>
        <v/>
      </c>
      <c r="Q110" s="12">
        <f>PROPER(TRIM(SUBSTITUTE(SUBSTITUTE(SUBSTITUTE(SUBSTITUTE(E110,"TRESEMME","Tresemme"),"HEAD &amp; SHOULDERS","Head &amp; Shoulders"),"ELVIVE","Elvive"),"FRUCTIS","Fructis")))</f>
        <v/>
      </c>
      <c r="R110" s="12">
        <f>COUNTIF($D$2:$D$10000,D110)&gt;1</f>
        <v/>
      </c>
      <c r="S110" s="12">
        <f>IF(H110=TRUE,"Disponible","No disponible")</f>
        <v/>
      </c>
      <c r="T110" s="12">
        <f>IF(AND(ISNUMBER(I110),I110&gt;0),ROUND(F110/I110,2),"Sin volumen")</f>
        <v/>
      </c>
      <c r="U110" s="12">
        <f>IF(F110&lt;5000,"Bajo",IF(F110&lt;15000,"Medio","Alto"))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TRIM(CLEAN(PROPER(D112)))</f>
        <v/>
      </c>
      <c r="Q112" s="12">
        <f>PROPER(TRIM(SUBSTITUTE(SUBSTITUTE(SUBSTITUTE(SUBSTITUTE(E112,"TRESEMME","Tresemme"),"HEAD &amp; SHOULDERS","Head &amp; Shoulders"),"ELVIVE","Elvive"),"FRUCTIS","Fructis")))</f>
        <v/>
      </c>
      <c r="R112" s="12">
        <f>COUNTIF($D$2:$D$10000,D112)&gt;1</f>
        <v/>
      </c>
      <c r="S112" s="12">
        <f>IF(H112=TRUE,"Disponible","No disponible")</f>
        <v/>
      </c>
      <c r="T112" s="12">
        <f>IF(AND(ISNUMBER(I112),I112&gt;0),ROUND(F112/I112,2),"Sin volumen")</f>
        <v/>
      </c>
      <c r="U112" s="12">
        <f>IF(F112&lt;5000,"Bajo",IF(F112&lt;15000,"Medio","Alto"))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TRIM(CLEAN(PROPER(D114)))</f>
        <v/>
      </c>
      <c r="Q114" s="12">
        <f>PROPER(TRIM(SUBSTITUTE(SUBSTITUTE(SUBSTITUTE(SUBSTITUTE(E114,"TRESEMME","Tresemme"),"HEAD &amp; SHOULDERS","Head &amp; Shoulders"),"ELVIVE","Elvive"),"FRUCTIS","Fructis")))</f>
        <v/>
      </c>
      <c r="R114" s="12">
        <f>COUNTIF($D$2:$D$10000,D114)&gt;1</f>
        <v/>
      </c>
      <c r="S114" s="12">
        <f>IF(H114=TRUE,"Disponible","No disponible")</f>
        <v/>
      </c>
      <c r="T114" s="12">
        <f>IF(AND(ISNUMBER(I114),I114&gt;0),ROUND(F114/I114,2),"Sin volumen")</f>
        <v/>
      </c>
      <c r="U114" s="12">
        <f>IF(F114&lt;5000,"Bajo",IF(F114&lt;15000,"Medio","Alto"))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TRIM(CLEAN(PROPER(D116)))</f>
        <v/>
      </c>
      <c r="Q116" s="12">
        <f>PROPER(TRIM(SUBSTITUTE(SUBSTITUTE(SUBSTITUTE(SUBSTITUTE(E116,"TRESEMME","Tresemme"),"HEAD &amp; SHOULDERS","Head &amp; Shoulders"),"ELVIVE","Elvive"),"FRUCTIS","Fructis")))</f>
        <v/>
      </c>
      <c r="R116" s="12">
        <f>COUNTIF($D$2:$D$10000,D116)&gt;1</f>
        <v/>
      </c>
      <c r="S116" s="12">
        <f>IF(H116=TRUE,"Disponible","No disponible")</f>
        <v/>
      </c>
      <c r="T116" s="12">
        <f>IF(AND(ISNUMBER(I116),I116&gt;0),ROUND(F116/I116,2),"Sin volumen")</f>
        <v/>
      </c>
      <c r="U116" s="12">
        <f>IF(F116&lt;5000,"Bajo",IF(F116&lt;15000,"Medio","Alto"))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TRIM(CLEAN(PROPER(D118)))</f>
        <v/>
      </c>
      <c r="Q118" s="12">
        <f>PROPER(TRIM(SUBSTITUTE(SUBSTITUTE(SUBSTITUTE(SUBSTITUTE(E118,"TRESEMME","Tresemme"),"HEAD &amp; SHOULDERS","Head &amp; Shoulders"),"ELVIVE","Elvive"),"FRUCTIS","Fructis")))</f>
        <v/>
      </c>
      <c r="R118" s="12">
        <f>COUNTIF($D$2:$D$10000,D118)&gt;1</f>
        <v/>
      </c>
      <c r="S118" s="12">
        <f>IF(H118=TRUE,"Disponible","No disponible")</f>
        <v/>
      </c>
      <c r="T118" s="12">
        <f>IF(AND(ISNUMBER(I118),I118&gt;0),ROUND(F118/I118,2),"Sin volumen")</f>
        <v/>
      </c>
      <c r="U118" s="12">
        <f>IF(F118&lt;5000,"Bajo",IF(F118&lt;15000,"Medio","Alto"))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TRIM(CLEAN(PROPER(D120)))</f>
        <v/>
      </c>
      <c r="Q120" s="12">
        <f>PROPER(TRIM(SUBSTITUTE(SUBSTITUTE(SUBSTITUTE(SUBSTITUTE(E120,"TRESEMME","Tresemme"),"HEAD &amp; SHOULDERS","Head &amp; Shoulders"),"ELVIVE","Elvive"),"FRUCTIS","Fructis")))</f>
        <v/>
      </c>
      <c r="R120" s="12">
        <f>COUNTIF($D$2:$D$10000,D120)&gt;1</f>
        <v/>
      </c>
      <c r="S120" s="12">
        <f>IF(H120=TRUE,"Disponible","No disponible")</f>
        <v/>
      </c>
      <c r="T120" s="12">
        <f>IF(AND(ISNUMBER(I120),I120&gt;0),ROUND(F120/I120,2),"Sin volumen")</f>
        <v/>
      </c>
      <c r="U120" s="12">
        <f>IF(F120&lt;5000,"Bajo",IF(F120&lt;15000,"Medio","Alto"))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TRIM(CLEAN(PROPER(D122)))</f>
        <v/>
      </c>
      <c r="Q122" s="12">
        <f>PROPER(TRIM(SUBSTITUTE(SUBSTITUTE(SUBSTITUTE(SUBSTITUTE(E122,"TRESEMME","Tresemme"),"HEAD &amp; SHOULDERS","Head &amp; Shoulders"),"ELVIVE","Elvive"),"FRUCTIS","Fructis")))</f>
        <v/>
      </c>
      <c r="R122" s="12">
        <f>COUNTIF($D$2:$D$10000,D122)&gt;1</f>
        <v/>
      </c>
      <c r="S122" s="12">
        <f>IF(H122=TRUE,"Disponible","No disponible")</f>
        <v/>
      </c>
      <c r="T122" s="12">
        <f>IF(AND(ISNUMBER(I122),I122&gt;0),ROUND(F122/I122,2),"Sin volumen")</f>
        <v/>
      </c>
      <c r="U122" s="12">
        <f>IF(F122&lt;5000,"Bajo",IF(F122&lt;15000,"Medio","Alto"))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TRIM(CLEAN(PROPER(D124)))</f>
        <v/>
      </c>
      <c r="Q124" s="12">
        <f>PROPER(TRIM(SUBSTITUTE(SUBSTITUTE(SUBSTITUTE(SUBSTITUTE(E124,"TRESEMME","Tresemme"),"HEAD &amp; SHOULDERS","Head &amp; Shoulders"),"ELVIVE","Elvive"),"FRUCTIS","Fructis")))</f>
        <v/>
      </c>
      <c r="R124" s="12">
        <f>COUNTIF($D$2:$D$10000,D124)&gt;1</f>
        <v/>
      </c>
      <c r="S124" s="12">
        <f>IF(H124=TRUE,"Disponible","No disponible")</f>
        <v/>
      </c>
      <c r="T124" s="12">
        <f>IF(AND(ISNUMBER(I124),I124&gt;0),ROUND(F124/I124,2),"Sin volumen")</f>
        <v/>
      </c>
      <c r="U124" s="12">
        <f>IF(F124&lt;5000,"Bajo",IF(F124&lt;15000,"Medio","Alto"))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TRIM(CLEAN(PROPER(D126)))</f>
        <v/>
      </c>
      <c r="Q126" s="12">
        <f>PROPER(TRIM(SUBSTITUTE(SUBSTITUTE(SUBSTITUTE(SUBSTITUTE(E126,"TRESEMME","Tresemme"),"HEAD &amp; SHOULDERS","Head &amp; Shoulders"),"ELVIVE","Elvive"),"FRUCTIS","Fructis")))</f>
        <v/>
      </c>
      <c r="R126" s="12">
        <f>COUNTIF($D$2:$D$10000,D126)&gt;1</f>
        <v/>
      </c>
      <c r="S126" s="12">
        <f>IF(H126=TRUE,"Disponible","No disponible")</f>
        <v/>
      </c>
      <c r="T126" s="12">
        <f>IF(AND(ISNUMBER(I126),I126&gt;0),ROUND(F126/I126,2),"Sin volumen")</f>
        <v/>
      </c>
      <c r="U126" s="12">
        <f>IF(F126&lt;5000,"Bajo",IF(F126&lt;15000,"Medio","Alto"))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TRIM(CLEAN(PROPER(D128)))</f>
        <v/>
      </c>
      <c r="Q128" s="12">
        <f>PROPER(TRIM(SUBSTITUTE(SUBSTITUTE(SUBSTITUTE(SUBSTITUTE(E128,"TRESEMME","Tresemme"),"HEAD &amp; SHOULDERS","Head &amp; Shoulders"),"ELVIVE","Elvive"),"FRUCTIS","Fructis")))</f>
        <v/>
      </c>
      <c r="R128" s="12">
        <f>COUNTIF($D$2:$D$10000,D128)&gt;1</f>
        <v/>
      </c>
      <c r="S128" s="12">
        <f>IF(H128=TRUE,"Disponible","No disponible")</f>
        <v/>
      </c>
      <c r="T128" s="12">
        <f>IF(AND(ISNUMBER(I128),I128&gt;0),ROUND(F128/I128,2),"Sin volumen")</f>
        <v/>
      </c>
      <c r="U128" s="12">
        <f>IF(F128&lt;5000,"Bajo",IF(F128&lt;15000,"Medio","Alto"))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TRIM(CLEAN(PROPER(D130)))</f>
        <v/>
      </c>
      <c r="Q130" s="12">
        <f>PROPER(TRIM(SUBSTITUTE(SUBSTITUTE(SUBSTITUTE(SUBSTITUTE(E130,"TRESEMME","Tresemme"),"HEAD &amp; SHOULDERS","Head &amp; Shoulders"),"ELVIVE","Elvive"),"FRUCTIS","Fructis")))</f>
        <v/>
      </c>
      <c r="R130" s="12">
        <f>COUNTIF($D$2:$D$10000,D130)&gt;1</f>
        <v/>
      </c>
      <c r="S130" s="12">
        <f>IF(H130=TRUE,"Disponible","No disponible")</f>
        <v/>
      </c>
      <c r="T130" s="12">
        <f>IF(AND(ISNUMBER(I130),I130&gt;0),ROUND(F130/I130,2),"Sin volumen")</f>
        <v/>
      </c>
      <c r="U130" s="12">
        <f>IF(F130&lt;5000,"Bajo",IF(F130&lt;15000,"Medio","Alto"))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TRIM(CLEAN(PROPER(D132)))</f>
        <v/>
      </c>
      <c r="Q132" s="12">
        <f>PROPER(TRIM(SUBSTITUTE(SUBSTITUTE(SUBSTITUTE(SUBSTITUTE(E132,"TRESEMME","Tresemme"),"HEAD &amp; SHOULDERS","Head &amp; Shoulders"),"ELVIVE","Elvive"),"FRUCTIS","Fructis")))</f>
        <v/>
      </c>
      <c r="R132" s="12">
        <f>COUNTIF($D$2:$D$10000,D132)&gt;1</f>
        <v/>
      </c>
      <c r="S132" s="12">
        <f>IF(H132=TRUE,"Disponible","No disponible")</f>
        <v/>
      </c>
      <c r="T132" s="12">
        <f>IF(AND(ISNUMBER(I132),I132&gt;0),ROUND(F132/I132,2),"Sin volumen")</f>
        <v/>
      </c>
      <c r="U132" s="12">
        <f>IF(F132&lt;5000,"Bajo",IF(F132&lt;15000,"Medio","Alto"))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TRIM(CLEAN(PROPER(D134)))</f>
        <v/>
      </c>
      <c r="Q134" s="12">
        <f>PROPER(TRIM(SUBSTITUTE(SUBSTITUTE(SUBSTITUTE(SUBSTITUTE(E134,"TRESEMME","Tresemme"),"HEAD &amp; SHOULDERS","Head &amp; Shoulders"),"ELVIVE","Elvive"),"FRUCTIS","Fructis")))</f>
        <v/>
      </c>
      <c r="R134" s="12">
        <f>COUNTIF($D$2:$D$10000,D134)&gt;1</f>
        <v/>
      </c>
      <c r="S134" s="12">
        <f>IF(H134=TRUE,"Disponible","No disponible")</f>
        <v/>
      </c>
      <c r="T134" s="12">
        <f>IF(AND(ISNUMBER(I134),I134&gt;0),ROUND(F134/I134,2),"Sin volumen")</f>
        <v/>
      </c>
      <c r="U134" s="12">
        <f>IF(F134&lt;5000,"Bajo",IF(F134&lt;15000,"Medio","Alto"))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TRIM(CLEAN(PROPER(D136)))</f>
        <v/>
      </c>
      <c r="Q136" s="12">
        <f>PROPER(TRIM(SUBSTITUTE(SUBSTITUTE(SUBSTITUTE(SUBSTITUTE(E136,"TRESEMME","Tresemme"),"HEAD &amp; SHOULDERS","Head &amp; Shoulders"),"ELVIVE","Elvive"),"FRUCTIS","Fructis")))</f>
        <v/>
      </c>
      <c r="R136" s="12">
        <f>COUNTIF($D$2:$D$10000,D136)&gt;1</f>
        <v/>
      </c>
      <c r="S136" s="12">
        <f>IF(H136=TRUE,"Disponible","No disponible")</f>
        <v/>
      </c>
      <c r="T136" s="12">
        <f>IF(AND(ISNUMBER(I136),I136&gt;0),ROUND(F136/I136,2),"Sin volumen")</f>
        <v/>
      </c>
      <c r="U136" s="12">
        <f>IF(F136&lt;5000,"Bajo",IF(F136&lt;15000,"Medio","Alto"))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TRIM(CLEAN(PROPER(D138)))</f>
        <v/>
      </c>
      <c r="Q138" s="12">
        <f>PROPER(TRIM(SUBSTITUTE(SUBSTITUTE(SUBSTITUTE(SUBSTITUTE(E138,"TRESEMME","Tresemme"),"HEAD &amp; SHOULDERS","Head &amp; Shoulders"),"ELVIVE","Elvive"),"FRUCTIS","Fructis")))</f>
        <v/>
      </c>
      <c r="R138" s="12">
        <f>COUNTIF($D$2:$D$10000,D138)&gt;1</f>
        <v/>
      </c>
      <c r="S138" s="12">
        <f>IF(H138=TRUE,"Disponible","No disponible")</f>
        <v/>
      </c>
      <c r="T138" s="12">
        <f>IF(AND(ISNUMBER(I138),I138&gt;0),ROUND(F138/I138,2),"Sin volumen")</f>
        <v/>
      </c>
      <c r="U138" s="12">
        <f>IF(F138&lt;5000,"Bajo",IF(F138&lt;15000,"Medio","Alto"))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TRIM(CLEAN(PROPER(D140)))</f>
        <v/>
      </c>
      <c r="Q140" s="12">
        <f>PROPER(TRIM(SUBSTITUTE(SUBSTITUTE(SUBSTITUTE(SUBSTITUTE(E140,"TRESEMME","Tresemme"),"HEAD &amp; SHOULDERS","Head &amp; Shoulders"),"ELVIVE","Elvive"),"FRUCTIS","Fructis")))</f>
        <v/>
      </c>
      <c r="R140" s="12">
        <f>COUNTIF($D$2:$D$10000,D140)&gt;1</f>
        <v/>
      </c>
      <c r="S140" s="12">
        <f>IF(H140=TRUE,"Disponible","No disponible")</f>
        <v/>
      </c>
      <c r="T140" s="12">
        <f>IF(AND(ISNUMBER(I140),I140&gt;0),ROUND(F140/I140,2),"Sin volumen")</f>
        <v/>
      </c>
      <c r="U140" s="12">
        <f>IF(F140&lt;5000,"Bajo",IF(F140&lt;15000,"Medio","Alto"))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TRIM(CLEAN(PROPER(D142)))</f>
        <v/>
      </c>
      <c r="Q142" s="12">
        <f>PROPER(TRIM(SUBSTITUTE(SUBSTITUTE(SUBSTITUTE(SUBSTITUTE(E142,"TRESEMME","Tresemme"),"HEAD &amp; SHOULDERS","Head &amp; Shoulders"),"ELVIVE","Elvive"),"FRUCTIS","Fructis")))</f>
        <v/>
      </c>
      <c r="R142" s="12">
        <f>COUNTIF($D$2:$D$10000,D142)&gt;1</f>
        <v/>
      </c>
      <c r="S142" s="12">
        <f>IF(H142=TRUE,"Disponible","No disponible")</f>
        <v/>
      </c>
      <c r="T142" s="12">
        <f>IF(AND(ISNUMBER(I142),I142&gt;0),ROUND(F142/I142,2),"Sin volumen")</f>
        <v/>
      </c>
      <c r="U142" s="12">
        <f>IF(F142&lt;5000,"Bajo",IF(F142&lt;15000,"Medio","Alto"))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TRIM(CLEAN(PROPER(D144)))</f>
        <v/>
      </c>
      <c r="Q144" s="12">
        <f>PROPER(TRIM(SUBSTITUTE(SUBSTITUTE(SUBSTITUTE(SUBSTITUTE(E144,"TRESEMME","Tresemme"),"HEAD &amp; SHOULDERS","Head &amp; Shoulders"),"ELVIVE","Elvive"),"FRUCTIS","Fructis")))</f>
        <v/>
      </c>
      <c r="R144" s="12">
        <f>COUNTIF($D$2:$D$10000,D144)&gt;1</f>
        <v/>
      </c>
      <c r="S144" s="12">
        <f>IF(H144=TRUE,"Disponible","No disponible")</f>
        <v/>
      </c>
      <c r="T144" s="12">
        <f>IF(AND(ISNUMBER(I144),I144&gt;0),ROUND(F144/I144,2),"Sin volumen")</f>
        <v/>
      </c>
      <c r="U144" s="12">
        <f>IF(F144&lt;5000,"Bajo",IF(F144&lt;15000,"Medio","Alto"))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TRIM(CLEAN(PROPER(D146)))</f>
        <v/>
      </c>
      <c r="Q146" s="12">
        <f>PROPER(TRIM(SUBSTITUTE(SUBSTITUTE(SUBSTITUTE(SUBSTITUTE(E146,"TRESEMME","Tresemme"),"HEAD &amp; SHOULDERS","Head &amp; Shoulders"),"ELVIVE","Elvive"),"FRUCTIS","Fructis")))</f>
        <v/>
      </c>
      <c r="R146" s="12">
        <f>COUNTIF($D$2:$D$10000,D146)&gt;1</f>
        <v/>
      </c>
      <c r="S146" s="12">
        <f>IF(H146=TRUE,"Disponible","No disponible")</f>
        <v/>
      </c>
      <c r="T146" s="12">
        <f>IF(AND(ISNUMBER(I146),I146&gt;0),ROUND(F146/I146,2),"Sin volumen")</f>
        <v/>
      </c>
      <c r="U146" s="12">
        <f>IF(F146&lt;5000,"Bajo",IF(F146&lt;15000,"Medio","Alto"))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TRIM(CLEAN(PROPER(D148)))</f>
        <v/>
      </c>
      <c r="Q148" s="12">
        <f>PROPER(TRIM(SUBSTITUTE(SUBSTITUTE(SUBSTITUTE(SUBSTITUTE(E148,"TRESEMME","Tresemme"),"HEAD &amp; SHOULDERS","Head &amp; Shoulders"),"ELVIVE","Elvive"),"FRUCTIS","Fructis")))</f>
        <v/>
      </c>
      <c r="R148" s="12">
        <f>COUNTIF($D$2:$D$10000,D148)&gt;1</f>
        <v/>
      </c>
      <c r="S148" s="12">
        <f>IF(H148=TRUE,"Disponible","No disponible")</f>
        <v/>
      </c>
      <c r="T148" s="12">
        <f>IF(AND(ISNUMBER(I148),I148&gt;0),ROUND(F148/I148,2),"Sin volumen")</f>
        <v/>
      </c>
      <c r="U148" s="12">
        <f>IF(F148&lt;5000,"Bajo",IF(F148&lt;15000,"Medio","Alto"))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TRIM(CLEAN(PROPER(D150)))</f>
        <v/>
      </c>
      <c r="Q150" s="12">
        <f>PROPER(TRIM(SUBSTITUTE(SUBSTITUTE(SUBSTITUTE(SUBSTITUTE(E150,"TRESEMME","Tresemme"),"HEAD &amp; SHOULDERS","Head &amp; Shoulders"),"ELVIVE","Elvive"),"FRUCTIS","Fructis")))</f>
        <v/>
      </c>
      <c r="R150" s="12">
        <f>COUNTIF($D$2:$D$10000,D150)&gt;1</f>
        <v/>
      </c>
      <c r="S150" s="12">
        <f>IF(H150=TRUE,"Disponible","No disponible")</f>
        <v/>
      </c>
      <c r="T150" s="12">
        <f>IF(AND(ISNUMBER(I150),I150&gt;0),ROUND(F150/I150,2),"Sin volumen")</f>
        <v/>
      </c>
      <c r="U150" s="12">
        <f>IF(F150&lt;5000,"Bajo",IF(F150&lt;15000,"Medio","Alto"))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TRIM(CLEAN(PROPER(D152)))</f>
        <v/>
      </c>
      <c r="Q152" s="12">
        <f>PROPER(TRIM(SUBSTITUTE(SUBSTITUTE(SUBSTITUTE(SUBSTITUTE(E152,"TRESEMME","Tresemme"),"HEAD &amp; SHOULDERS","Head &amp; Shoulders"),"ELVIVE","Elvive"),"FRUCTIS","Fructis")))</f>
        <v/>
      </c>
      <c r="R152" s="12">
        <f>COUNTIF($D$2:$D$10000,D152)&gt;1</f>
        <v/>
      </c>
      <c r="S152" s="12">
        <f>IF(H152=TRUE,"Disponible","No disponible")</f>
        <v/>
      </c>
      <c r="T152" s="12">
        <f>IF(AND(ISNUMBER(I152),I152&gt;0),ROUND(F152/I152,2),"Sin volumen")</f>
        <v/>
      </c>
      <c r="U152" s="12">
        <f>IF(F152&lt;5000,"Bajo",IF(F152&lt;15000,"Medio","Alto"))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TRIM(CLEAN(PROPER(D154)))</f>
        <v/>
      </c>
      <c r="Q154" s="12">
        <f>PROPER(TRIM(SUBSTITUTE(SUBSTITUTE(SUBSTITUTE(SUBSTITUTE(E154,"TRESEMME","Tresemme"),"HEAD &amp; SHOULDERS","Head &amp; Shoulders"),"ELVIVE","Elvive"),"FRUCTIS","Fructis")))</f>
        <v/>
      </c>
      <c r="R154" s="12">
        <f>COUNTIF($D$2:$D$10000,D154)&gt;1</f>
        <v/>
      </c>
      <c r="S154" s="12">
        <f>IF(H154=TRUE,"Disponible","No disponible")</f>
        <v/>
      </c>
      <c r="T154" s="12">
        <f>IF(AND(ISNUMBER(I154),I154&gt;0),ROUND(F154/I154,2),"Sin volumen")</f>
        <v/>
      </c>
      <c r="U154" s="12">
        <f>IF(F154&lt;5000,"Bajo",IF(F154&lt;15000,"Medio","Alto"))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TRIM(CLEAN(PROPER(D156)))</f>
        <v/>
      </c>
      <c r="Q156" s="12">
        <f>PROPER(TRIM(SUBSTITUTE(SUBSTITUTE(SUBSTITUTE(SUBSTITUTE(E156,"TRESEMME","Tresemme"),"HEAD &amp; SHOULDERS","Head &amp; Shoulders"),"ELVIVE","Elvive"),"FRUCTIS","Fructis")))</f>
        <v/>
      </c>
      <c r="R156" s="12">
        <f>COUNTIF($D$2:$D$10000,D156)&gt;1</f>
        <v/>
      </c>
      <c r="S156" s="12">
        <f>IF(H156=TRUE,"Disponible","No disponible")</f>
        <v/>
      </c>
      <c r="T156" s="12">
        <f>IF(AND(ISNUMBER(I156),I156&gt;0),ROUND(F156/I156,2),"Sin volumen")</f>
        <v/>
      </c>
      <c r="U156" s="12">
        <f>IF(F156&lt;5000,"Bajo",IF(F156&lt;15000,"Medio","Alto"))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TRIM(CLEAN(PROPER(D158)))</f>
        <v/>
      </c>
      <c r="Q158" s="12">
        <f>PROPER(TRIM(SUBSTITUTE(SUBSTITUTE(SUBSTITUTE(SUBSTITUTE(E158,"TRESEMME","Tresemme"),"HEAD &amp; SHOULDERS","Head &amp; Shoulders"),"ELVIVE","Elvive"),"FRUCTIS","Fructis")))</f>
        <v/>
      </c>
      <c r="R158" s="12">
        <f>COUNTIF($D$2:$D$10000,D158)&gt;1</f>
        <v/>
      </c>
      <c r="S158" s="12">
        <f>IF(H158=TRUE,"Disponible","No disponible")</f>
        <v/>
      </c>
      <c r="T158" s="12">
        <f>IF(AND(ISNUMBER(I158),I158&gt;0),ROUND(F158/I158,2),"Sin volumen")</f>
        <v/>
      </c>
      <c r="U158" s="12">
        <f>IF(F158&lt;5000,"Bajo",IF(F158&lt;15000,"Medio","Alto"))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TRIM(CLEAN(PROPER(D160)))</f>
        <v/>
      </c>
      <c r="Q160" s="12">
        <f>PROPER(TRIM(SUBSTITUTE(SUBSTITUTE(SUBSTITUTE(SUBSTITUTE(E160,"TRESEMME","Tresemme"),"HEAD &amp; SHOULDERS","Head &amp; Shoulders"),"ELVIVE","Elvive"),"FRUCTIS","Fructis")))</f>
        <v/>
      </c>
      <c r="R160" s="12">
        <f>COUNTIF($D$2:$D$10000,D160)&gt;1</f>
        <v/>
      </c>
      <c r="S160" s="12">
        <f>IF(H160=TRUE,"Disponible","No disponible")</f>
        <v/>
      </c>
      <c r="T160" s="12">
        <f>IF(AND(ISNUMBER(I160),I160&gt;0),ROUND(F160/I160,2),"Sin volumen")</f>
        <v/>
      </c>
      <c r="U160" s="12">
        <f>IF(F160&lt;5000,"Bajo",IF(F160&lt;15000,"Medio","Alto"))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TRIM(CLEAN(PROPER(D162)))</f>
        <v/>
      </c>
      <c r="Q162" s="12">
        <f>PROPER(TRIM(SUBSTITUTE(SUBSTITUTE(SUBSTITUTE(SUBSTITUTE(E162,"TRESEMME","Tresemme"),"HEAD &amp; SHOULDERS","Head &amp; Shoulders"),"ELVIVE","Elvive"),"FRUCTIS","Fructis")))</f>
        <v/>
      </c>
      <c r="R162" s="12">
        <f>COUNTIF($D$2:$D$10000,D162)&gt;1</f>
        <v/>
      </c>
      <c r="S162" s="12">
        <f>IF(H162=TRUE,"Disponible","No disponible")</f>
        <v/>
      </c>
      <c r="T162" s="12">
        <f>IF(AND(ISNUMBER(I162),I162&gt;0),ROUND(F162/I162,2),"Sin volumen")</f>
        <v/>
      </c>
      <c r="U162" s="12">
        <f>IF(F162&lt;5000,"Bajo",IF(F162&lt;15000,"Medio","Alto"))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TRIM(CLEAN(PROPER(D164)))</f>
        <v/>
      </c>
      <c r="Q164" s="12">
        <f>PROPER(TRIM(SUBSTITUTE(SUBSTITUTE(SUBSTITUTE(SUBSTITUTE(E164,"TRESEMME","Tresemme"),"HEAD &amp; SHOULDERS","Head &amp; Shoulders"),"ELVIVE","Elvive"),"FRUCTIS","Fructis")))</f>
        <v/>
      </c>
      <c r="R164" s="12">
        <f>COUNTIF($D$2:$D$10000,D164)&gt;1</f>
        <v/>
      </c>
      <c r="S164" s="12">
        <f>IF(H164=TRUE,"Disponible","No disponible")</f>
        <v/>
      </c>
      <c r="T164" s="12">
        <f>IF(AND(ISNUMBER(I164),I164&gt;0),ROUND(F164/I164,2),"Sin volumen")</f>
        <v/>
      </c>
      <c r="U164" s="12">
        <f>IF(F164&lt;5000,"Bajo",IF(F164&lt;15000,"Medio","Alto"))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TRIM(CLEAN(PROPER(D166)))</f>
        <v/>
      </c>
      <c r="Q166" s="12">
        <f>PROPER(TRIM(SUBSTITUTE(SUBSTITUTE(SUBSTITUTE(SUBSTITUTE(E166,"TRESEMME","Tresemme"),"HEAD &amp; SHOULDERS","Head &amp; Shoulders"),"ELVIVE","Elvive"),"FRUCTIS","Fructis")))</f>
        <v/>
      </c>
      <c r="R166" s="12">
        <f>COUNTIF($D$2:$D$10000,D166)&gt;1</f>
        <v/>
      </c>
      <c r="S166" s="12">
        <f>IF(H166=TRUE,"Disponible","No disponible")</f>
        <v/>
      </c>
      <c r="T166" s="12">
        <f>IF(AND(ISNUMBER(I166),I166&gt;0),ROUND(F166/I166,2),"Sin volumen")</f>
        <v/>
      </c>
      <c r="U166" s="12">
        <f>IF(F166&lt;5000,"Bajo",IF(F166&lt;15000,"Medio","Alto"))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TRIM(CLEAN(PROPER(D168)))</f>
        <v/>
      </c>
      <c r="Q168" s="12">
        <f>PROPER(TRIM(SUBSTITUTE(SUBSTITUTE(SUBSTITUTE(SUBSTITUTE(E168,"TRESEMME","Tresemme"),"HEAD &amp; SHOULDERS","Head &amp; Shoulders"),"ELVIVE","Elvive"),"FRUCTIS","Fructis")))</f>
        <v/>
      </c>
      <c r="R168" s="12">
        <f>COUNTIF($D$2:$D$10000,D168)&gt;1</f>
        <v/>
      </c>
      <c r="S168" s="12">
        <f>IF(H168=TRUE,"Disponible","No disponible")</f>
        <v/>
      </c>
      <c r="T168" s="12">
        <f>IF(AND(ISNUMBER(I168),I168&gt;0),ROUND(F168/I168,2),"Sin volumen")</f>
        <v/>
      </c>
      <c r="U168" s="12">
        <f>IF(F168&lt;5000,"Bajo",IF(F168&lt;15000,"Medio","Alto"))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TRIM(CLEAN(PROPER(D170)))</f>
        <v/>
      </c>
      <c r="Q170" s="12">
        <f>PROPER(TRIM(SUBSTITUTE(SUBSTITUTE(SUBSTITUTE(SUBSTITUTE(E170,"TRESEMME","Tresemme"),"HEAD &amp; SHOULDERS","Head &amp; Shoulders"),"ELVIVE","Elvive"),"FRUCTIS","Fructis")))</f>
        <v/>
      </c>
      <c r="R170" s="12">
        <f>COUNTIF($D$2:$D$10000,D170)&gt;1</f>
        <v/>
      </c>
      <c r="S170" s="12">
        <f>IF(H170=TRUE,"Disponible","No disponible")</f>
        <v/>
      </c>
      <c r="T170" s="12">
        <f>IF(AND(ISNUMBER(I170),I170&gt;0),ROUND(F170/I170,2),"Sin volumen")</f>
        <v/>
      </c>
      <c r="U170" s="12">
        <f>IF(F170&lt;5000,"Bajo",IF(F170&lt;15000,"Medio","Alto"))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TRIM(CLEAN(PROPER(D172)))</f>
        <v/>
      </c>
      <c r="Q172" s="12">
        <f>PROPER(TRIM(SUBSTITUTE(SUBSTITUTE(SUBSTITUTE(SUBSTITUTE(E172,"TRESEMME","Tresemme"),"HEAD &amp; SHOULDERS","Head &amp; Shoulders"),"ELVIVE","Elvive"),"FRUCTIS","Fructis")))</f>
        <v/>
      </c>
      <c r="R172" s="12">
        <f>COUNTIF($D$2:$D$10000,D172)&gt;1</f>
        <v/>
      </c>
      <c r="S172" s="12">
        <f>IF(H172=TRUE,"Disponible","No disponible")</f>
        <v/>
      </c>
      <c r="T172" s="12">
        <f>IF(AND(ISNUMBER(I172),I172&gt;0),ROUND(F172/I172,2),"Sin volumen")</f>
        <v/>
      </c>
      <c r="U172" s="12">
        <f>IF(F172&lt;5000,"Bajo",IF(F172&lt;15000,"Medio","Alto"))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TRIM(CLEAN(PROPER(D174)))</f>
        <v/>
      </c>
      <c r="Q174" s="12">
        <f>PROPER(TRIM(SUBSTITUTE(SUBSTITUTE(SUBSTITUTE(SUBSTITUTE(E174,"TRESEMME","Tresemme"),"HEAD &amp; SHOULDERS","Head &amp; Shoulders"),"ELVIVE","Elvive"),"FRUCTIS","Fructis")))</f>
        <v/>
      </c>
      <c r="R174" s="12">
        <f>COUNTIF($D$2:$D$10000,D174)&gt;1</f>
        <v/>
      </c>
      <c r="S174" s="12">
        <f>IF(H174=TRUE,"Disponible","No disponible")</f>
        <v/>
      </c>
      <c r="T174" s="12">
        <f>IF(AND(ISNUMBER(I174),I174&gt;0),ROUND(F174/I174,2),"Sin volumen")</f>
        <v/>
      </c>
      <c r="U174" s="12">
        <f>IF(F174&lt;5000,"Bajo",IF(F174&lt;15000,"Medio","Alto"))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TRIM(CLEAN(PROPER(D176)))</f>
        <v/>
      </c>
      <c r="Q176" s="12">
        <f>PROPER(TRIM(SUBSTITUTE(SUBSTITUTE(SUBSTITUTE(SUBSTITUTE(E176,"TRESEMME","Tresemme"),"HEAD &amp; SHOULDERS","Head &amp; Shoulders"),"ELVIVE","Elvive"),"FRUCTIS","Fructis")))</f>
        <v/>
      </c>
      <c r="R176" s="12">
        <f>COUNTIF($D$2:$D$10000,D176)&gt;1</f>
        <v/>
      </c>
      <c r="S176" s="12">
        <f>IF(H176=TRUE,"Disponible","No disponible")</f>
        <v/>
      </c>
      <c r="T176" s="12">
        <f>IF(AND(ISNUMBER(I176),I176&gt;0),ROUND(F176/I176,2),"Sin volumen")</f>
        <v/>
      </c>
      <c r="U176" s="12">
        <f>IF(F176&lt;5000,"Bajo",IF(F176&lt;15000,"Medio","Alto"))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TRIM(CLEAN(PROPER(D178)))</f>
        <v/>
      </c>
      <c r="Q178" s="12">
        <f>PROPER(TRIM(SUBSTITUTE(SUBSTITUTE(SUBSTITUTE(SUBSTITUTE(E178,"TRESEMME","Tresemme"),"HEAD &amp; SHOULDERS","Head &amp; Shoulders"),"ELVIVE","Elvive"),"FRUCTIS","Fructis")))</f>
        <v/>
      </c>
      <c r="R178" s="12">
        <f>COUNTIF($D$2:$D$10000,D178)&gt;1</f>
        <v/>
      </c>
      <c r="S178" s="12">
        <f>IF(H178=TRUE,"Disponible","No disponible")</f>
        <v/>
      </c>
      <c r="T178" s="12">
        <f>IF(AND(ISNUMBER(I178),I178&gt;0),ROUND(F178/I178,2),"Sin volumen")</f>
        <v/>
      </c>
      <c r="U178" s="12">
        <f>IF(F178&lt;5000,"Bajo",IF(F178&lt;15000,"Medio","Alto"))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TRIM(CLEAN(PROPER(D180)))</f>
        <v/>
      </c>
      <c r="Q180" s="12">
        <f>PROPER(TRIM(SUBSTITUTE(SUBSTITUTE(SUBSTITUTE(SUBSTITUTE(E180,"TRESEMME","Tresemme"),"HEAD &amp; SHOULDERS","Head &amp; Shoulders"),"ELVIVE","Elvive"),"FRUCTIS","Fructis")))</f>
        <v/>
      </c>
      <c r="R180" s="12">
        <f>COUNTIF($D$2:$D$10000,D180)&gt;1</f>
        <v/>
      </c>
      <c r="S180" s="12">
        <f>IF(H180=TRUE,"Disponible","No disponible")</f>
        <v/>
      </c>
      <c r="T180" s="12">
        <f>IF(AND(ISNUMBER(I180),I180&gt;0),ROUND(F180/I180,2),"Sin volumen")</f>
        <v/>
      </c>
      <c r="U180" s="12">
        <f>IF(F180&lt;5000,"Bajo",IF(F180&lt;15000,"Medio","Alto"))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TRIM(CLEAN(PROPER(D182)))</f>
        <v/>
      </c>
      <c r="Q182" s="12">
        <f>PROPER(TRIM(SUBSTITUTE(SUBSTITUTE(SUBSTITUTE(SUBSTITUTE(E182,"TRESEMME","Tresemme"),"HEAD &amp; SHOULDERS","Head &amp; Shoulders"),"ELVIVE","Elvive"),"FRUCTIS","Fructis")))</f>
        <v/>
      </c>
      <c r="R182" s="12">
        <f>COUNTIF($D$2:$D$10000,D182)&gt;1</f>
        <v/>
      </c>
      <c r="S182" s="12">
        <f>IF(H182=TRUE,"Disponible","No disponible")</f>
        <v/>
      </c>
      <c r="T182" s="12">
        <f>IF(AND(ISNUMBER(I182),I182&gt;0),ROUND(F182/I182,2),"Sin volumen")</f>
        <v/>
      </c>
      <c r="U182" s="12">
        <f>IF(F182&lt;5000,"Bajo",IF(F182&lt;15000,"Medio","Alto"))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TRIM(CLEAN(PROPER(D184)))</f>
        <v/>
      </c>
      <c r="Q184" s="12">
        <f>PROPER(TRIM(SUBSTITUTE(SUBSTITUTE(SUBSTITUTE(SUBSTITUTE(E184,"TRESEMME","Tresemme"),"HEAD &amp; SHOULDERS","Head &amp; Shoulders"),"ELVIVE","Elvive"),"FRUCTIS","Fructis")))</f>
        <v/>
      </c>
      <c r="R184" s="12">
        <f>COUNTIF($D$2:$D$10000,D184)&gt;1</f>
        <v/>
      </c>
      <c r="S184" s="12">
        <f>IF(H184=TRUE,"Disponible","No disponible")</f>
        <v/>
      </c>
      <c r="T184" s="12">
        <f>IF(AND(ISNUMBER(I184),I184&gt;0),ROUND(F184/I184,2),"Sin volumen")</f>
        <v/>
      </c>
      <c r="U184" s="12">
        <f>IF(F184&lt;5000,"Bajo",IF(F184&lt;15000,"Medio","Alto"))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TRIM(CLEAN(PROPER(D186)))</f>
        <v/>
      </c>
      <c r="Q186" s="12">
        <f>PROPER(TRIM(SUBSTITUTE(SUBSTITUTE(SUBSTITUTE(SUBSTITUTE(E186,"TRESEMME","Tresemme"),"HEAD &amp; SHOULDERS","Head &amp; Shoulders"),"ELVIVE","Elvive"),"FRUCTIS","Fructis")))</f>
        <v/>
      </c>
      <c r="R186" s="12">
        <f>COUNTIF($D$2:$D$10000,D186)&gt;1</f>
        <v/>
      </c>
      <c r="S186" s="12">
        <f>IF(H186=TRUE,"Disponible","No disponible")</f>
        <v/>
      </c>
      <c r="T186" s="12">
        <f>IF(AND(ISNUMBER(I186),I186&gt;0),ROUND(F186/I186,2),"Sin volumen")</f>
        <v/>
      </c>
      <c r="U186" s="12">
        <f>IF(F186&lt;5000,"Bajo",IF(F186&lt;15000,"Medio","Alto"))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TRIM(CLEAN(PROPER(D188)))</f>
        <v/>
      </c>
      <c r="Q188" s="12">
        <f>PROPER(TRIM(SUBSTITUTE(SUBSTITUTE(SUBSTITUTE(SUBSTITUTE(E188,"TRESEMME","Tresemme"),"HEAD &amp; SHOULDERS","Head &amp; Shoulders"),"ELVIVE","Elvive"),"FRUCTIS","Fructis")))</f>
        <v/>
      </c>
      <c r="R188" s="12">
        <f>COUNTIF($D$2:$D$10000,D188)&gt;1</f>
        <v/>
      </c>
      <c r="S188" s="12">
        <f>IF(H188=TRUE,"Disponible","No disponible")</f>
        <v/>
      </c>
      <c r="T188" s="12">
        <f>IF(AND(ISNUMBER(I188),I188&gt;0),ROUND(F188/I188,2),"Sin volumen")</f>
        <v/>
      </c>
      <c r="U188" s="12">
        <f>IF(F188&lt;5000,"Bajo",IF(F188&lt;15000,"Medio","Alto"))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TRIM(CLEAN(PROPER(D190)))</f>
        <v/>
      </c>
      <c r="Q190" s="12">
        <f>PROPER(TRIM(SUBSTITUTE(SUBSTITUTE(SUBSTITUTE(SUBSTITUTE(E190,"TRESEMME","Tresemme"),"HEAD &amp; SHOULDERS","Head &amp; Shoulders"),"ELVIVE","Elvive"),"FRUCTIS","Fructis")))</f>
        <v/>
      </c>
      <c r="R190" s="12">
        <f>COUNTIF($D$2:$D$10000,D190)&gt;1</f>
        <v/>
      </c>
      <c r="S190" s="12">
        <f>IF(H190=TRUE,"Disponible","No disponible")</f>
        <v/>
      </c>
      <c r="T190" s="12">
        <f>IF(AND(ISNUMBER(I190),I190&gt;0),ROUND(F190/I190,2),"Sin volumen")</f>
        <v/>
      </c>
      <c r="U190" s="12">
        <f>IF(F190&lt;5000,"Bajo",IF(F190&lt;15000,"Medio","Alto"))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TRIM(CLEAN(PROPER(D192)))</f>
        <v/>
      </c>
      <c r="Q192" s="12">
        <f>PROPER(TRIM(SUBSTITUTE(SUBSTITUTE(SUBSTITUTE(SUBSTITUTE(E192,"TRESEMME","Tresemme"),"HEAD &amp; SHOULDERS","Head &amp; Shoulders"),"ELVIVE","Elvive"),"FRUCTIS","Fructis")))</f>
        <v/>
      </c>
      <c r="R192" s="12">
        <f>COUNTIF($D$2:$D$10000,D192)&gt;1</f>
        <v/>
      </c>
      <c r="S192" s="12">
        <f>IF(H192=TRUE,"Disponible","No disponible")</f>
        <v/>
      </c>
      <c r="T192" s="12">
        <f>IF(AND(ISNUMBER(I192),I192&gt;0),ROUND(F192/I192,2),"Sin volumen")</f>
        <v/>
      </c>
      <c r="U192" s="12">
        <f>IF(F192&lt;5000,"Bajo",IF(F192&lt;15000,"Medio","Alto"))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TRIM(CLEAN(PROPER(D194)))</f>
        <v/>
      </c>
      <c r="Q194" s="12">
        <f>PROPER(TRIM(SUBSTITUTE(SUBSTITUTE(SUBSTITUTE(SUBSTITUTE(E194,"TRESEMME","Tresemme"),"HEAD &amp; SHOULDERS","Head &amp; Shoulders"),"ELVIVE","Elvive"),"FRUCTIS","Fructis")))</f>
        <v/>
      </c>
      <c r="R194" s="12">
        <f>COUNTIF($D$2:$D$10000,D194)&gt;1</f>
        <v/>
      </c>
      <c r="S194" s="12">
        <f>IF(H194=TRUE,"Disponible","No disponible")</f>
        <v/>
      </c>
      <c r="T194" s="12">
        <f>IF(AND(ISNUMBER(I194),I194&gt;0),ROUND(F194/I194,2),"Sin volumen")</f>
        <v/>
      </c>
      <c r="U194" s="12">
        <f>IF(F194&lt;5000,"Bajo",IF(F194&lt;15000,"Medio","Alto"))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TRIM(CLEAN(PROPER(D196)))</f>
        <v/>
      </c>
      <c r="Q196" s="12">
        <f>PROPER(TRIM(SUBSTITUTE(SUBSTITUTE(SUBSTITUTE(SUBSTITUTE(E196,"TRESEMME","Tresemme"),"HEAD &amp; SHOULDERS","Head &amp; Shoulders"),"ELVIVE","Elvive"),"FRUCTIS","Fructis")))</f>
        <v/>
      </c>
      <c r="R196" s="12">
        <f>COUNTIF($D$2:$D$10000,D196)&gt;1</f>
        <v/>
      </c>
      <c r="S196" s="12">
        <f>IF(H196=TRUE,"Disponible","No disponible")</f>
        <v/>
      </c>
      <c r="T196" s="12">
        <f>IF(AND(ISNUMBER(I196),I196&gt;0),ROUND(F196/I196,2),"Sin volumen")</f>
        <v/>
      </c>
      <c r="U196" s="12">
        <f>IF(F196&lt;5000,"Bajo",IF(F196&lt;15000,"Medio","Alto"))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TRIM(CLEAN(PROPER(D198)))</f>
        <v/>
      </c>
      <c r="Q198" s="12">
        <f>PROPER(TRIM(SUBSTITUTE(SUBSTITUTE(SUBSTITUTE(SUBSTITUTE(E198,"TRESEMME","Tresemme"),"HEAD &amp; SHOULDERS","Head &amp; Shoulders"),"ELVIVE","Elvive"),"FRUCTIS","Fructis")))</f>
        <v/>
      </c>
      <c r="R198" s="12">
        <f>COUNTIF($D$2:$D$10000,D198)&gt;1</f>
        <v/>
      </c>
      <c r="S198" s="12">
        <f>IF(H198=TRUE,"Disponible","No disponible")</f>
        <v/>
      </c>
      <c r="T198" s="12">
        <f>IF(AND(ISNUMBER(I198),I198&gt;0),ROUND(F198/I198,2),"Sin volumen")</f>
        <v/>
      </c>
      <c r="U198" s="12">
        <f>IF(F198&lt;5000,"Bajo",IF(F198&lt;15000,"Medio","Alto"))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TRIM(CLEAN(PROPER(D200)))</f>
        <v/>
      </c>
      <c r="Q200" s="12">
        <f>PROPER(TRIM(SUBSTITUTE(SUBSTITUTE(SUBSTITUTE(SUBSTITUTE(E200,"TRESEMME","Tresemme"),"HEAD &amp; SHOULDERS","Head &amp; Shoulders"),"ELVIVE","Elvive"),"FRUCTIS","Fructis")))</f>
        <v/>
      </c>
      <c r="R200" s="12">
        <f>COUNTIF($D$2:$D$10000,D200)&gt;1</f>
        <v/>
      </c>
      <c r="S200" s="12">
        <f>IF(H200=TRUE,"Disponible","No disponible")</f>
        <v/>
      </c>
      <c r="T200" s="12">
        <f>IF(AND(ISNUMBER(I200),I200&gt;0),ROUND(F200/I200,2),"Sin volumen")</f>
        <v/>
      </c>
      <c r="U200" s="12">
        <f>IF(F200&lt;5000,"Bajo",IF(F200&lt;15000,"Medio","Alto"))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TRIM(CLEAN(PROPER(D202)))</f>
        <v/>
      </c>
      <c r="Q202" s="12">
        <f>PROPER(TRIM(SUBSTITUTE(SUBSTITUTE(SUBSTITUTE(SUBSTITUTE(E202,"TRESEMME","Tresemme"),"HEAD &amp; SHOULDERS","Head &amp; Shoulders"),"ELVIVE","Elvive"),"FRUCTIS","Fructis")))</f>
        <v/>
      </c>
      <c r="R202" s="12">
        <f>COUNTIF($D$2:$D$10000,D202)&gt;1</f>
        <v/>
      </c>
      <c r="S202" s="12">
        <f>IF(H202=TRUE,"Disponible","No disponible")</f>
        <v/>
      </c>
      <c r="T202" s="12">
        <f>IF(AND(ISNUMBER(I202),I202&gt;0),ROUND(F202/I202,2),"Sin volumen")</f>
        <v/>
      </c>
      <c r="U202" s="12">
        <f>IF(F202&lt;5000,"Bajo",IF(F202&lt;15000,"Medio","Alto"))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TRIM(CLEAN(PROPER(D204)))</f>
        <v/>
      </c>
      <c r="Q204" s="12">
        <f>PROPER(TRIM(SUBSTITUTE(SUBSTITUTE(SUBSTITUTE(SUBSTITUTE(E204,"TRESEMME","Tresemme"),"HEAD &amp; SHOULDERS","Head &amp; Shoulders"),"ELVIVE","Elvive"),"FRUCTIS","Fructis")))</f>
        <v/>
      </c>
      <c r="R204" s="12">
        <f>COUNTIF($D$2:$D$10000,D204)&gt;1</f>
        <v/>
      </c>
      <c r="S204" s="12">
        <f>IF(H204=TRUE,"Disponible","No disponible")</f>
        <v/>
      </c>
      <c r="T204" s="12">
        <f>IF(AND(ISNUMBER(I204),I204&gt;0),ROUND(F204/I204,2),"Sin volumen")</f>
        <v/>
      </c>
      <c r="U204" s="12">
        <f>IF(F204&lt;5000,"Bajo",IF(F204&lt;15000,"Medio","Alto"))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TRIM(CLEAN(PROPER(D206)))</f>
        <v/>
      </c>
      <c r="Q206" s="12">
        <f>PROPER(TRIM(SUBSTITUTE(SUBSTITUTE(SUBSTITUTE(SUBSTITUTE(E206,"TRESEMME","Tresemme"),"HEAD &amp; SHOULDERS","Head &amp; Shoulders"),"ELVIVE","Elvive"),"FRUCTIS","Fructis")))</f>
        <v/>
      </c>
      <c r="R206" s="12">
        <f>COUNTIF($D$2:$D$10000,D206)&gt;1</f>
        <v/>
      </c>
      <c r="S206" s="12">
        <f>IF(H206=TRUE,"Disponible","No disponible")</f>
        <v/>
      </c>
      <c r="T206" s="12">
        <f>IF(AND(ISNUMBER(I206),I206&gt;0),ROUND(F206/I206,2),"Sin volumen")</f>
        <v/>
      </c>
      <c r="U206" s="12">
        <f>IF(F206&lt;5000,"Bajo",IF(F206&lt;15000,"Medio","Alto"))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TRIM(CLEAN(PROPER(D208)))</f>
        <v/>
      </c>
      <c r="Q208" s="12">
        <f>PROPER(TRIM(SUBSTITUTE(SUBSTITUTE(SUBSTITUTE(SUBSTITUTE(E208,"TRESEMME","Tresemme"),"HEAD &amp; SHOULDERS","Head &amp; Shoulders"),"ELVIVE","Elvive"),"FRUCTIS","Fructis")))</f>
        <v/>
      </c>
      <c r="R208" s="12">
        <f>COUNTIF($D$2:$D$10000,D208)&gt;1</f>
        <v/>
      </c>
      <c r="S208" s="12">
        <f>IF(H208=TRUE,"Disponible","No disponible")</f>
        <v/>
      </c>
      <c r="T208" s="12">
        <f>IF(AND(ISNUMBER(I208),I208&gt;0),ROUND(F208/I208,2),"Sin volumen")</f>
        <v/>
      </c>
      <c r="U208" s="12">
        <f>IF(F208&lt;5000,"Bajo",IF(F208&lt;15000,"Medio","Alto"))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TRIM(CLEAN(PROPER(D210)))</f>
        <v/>
      </c>
      <c r="Q210" s="12">
        <f>PROPER(TRIM(SUBSTITUTE(SUBSTITUTE(SUBSTITUTE(SUBSTITUTE(E210,"TRESEMME","Tresemme"),"HEAD &amp; SHOULDERS","Head &amp; Shoulders"),"ELVIVE","Elvive"),"FRUCTIS","Fructis")))</f>
        <v/>
      </c>
      <c r="R210" s="12">
        <f>COUNTIF($D$2:$D$10000,D210)&gt;1</f>
        <v/>
      </c>
      <c r="S210" s="12">
        <f>IF(H210=TRUE,"Disponible","No disponible")</f>
        <v/>
      </c>
      <c r="T210" s="12">
        <f>IF(AND(ISNUMBER(I210),I210&gt;0),ROUND(F210/I210,2),"Sin volumen")</f>
        <v/>
      </c>
      <c r="U210" s="12">
        <f>IF(F210&lt;5000,"Bajo",IF(F210&lt;15000,"Medio","Alto"))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TRIM(CLEAN(PROPER(D212)))</f>
        <v/>
      </c>
      <c r="Q212" s="12">
        <f>PROPER(TRIM(SUBSTITUTE(SUBSTITUTE(SUBSTITUTE(SUBSTITUTE(E212,"TRESEMME","Tresemme"),"HEAD &amp; SHOULDERS","Head &amp; Shoulders"),"ELVIVE","Elvive"),"FRUCTIS","Fructis")))</f>
        <v/>
      </c>
      <c r="R212" s="12">
        <f>COUNTIF($D$2:$D$10000,D212)&gt;1</f>
        <v/>
      </c>
      <c r="S212" s="12">
        <f>IF(H212=TRUE,"Disponible","No disponible")</f>
        <v/>
      </c>
      <c r="T212" s="12">
        <f>IF(AND(ISNUMBER(I212),I212&gt;0),ROUND(F212/I212,2),"Sin volumen")</f>
        <v/>
      </c>
      <c r="U212" s="12">
        <f>IF(F212&lt;5000,"Bajo",IF(F212&lt;15000,"Medio","Alto"))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TRIM(CLEAN(PROPER(D214)))</f>
        <v/>
      </c>
      <c r="Q214" s="12">
        <f>PROPER(TRIM(SUBSTITUTE(SUBSTITUTE(SUBSTITUTE(SUBSTITUTE(E214,"TRESEMME","Tresemme"),"HEAD &amp; SHOULDERS","Head &amp; Shoulders"),"ELVIVE","Elvive"),"FRUCTIS","Fructis")))</f>
        <v/>
      </c>
      <c r="R214" s="12">
        <f>COUNTIF($D$2:$D$10000,D214)&gt;1</f>
        <v/>
      </c>
      <c r="S214" s="12">
        <f>IF(H214=TRUE,"Disponible","No disponible")</f>
        <v/>
      </c>
      <c r="T214" s="12">
        <f>IF(AND(ISNUMBER(I214),I214&gt;0),ROUND(F214/I214,2),"Sin volumen")</f>
        <v/>
      </c>
      <c r="U214" s="12">
        <f>IF(F214&lt;5000,"Bajo",IF(F214&lt;15000,"Medio","Alto"))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TRIM(CLEAN(PROPER(D216)))</f>
        <v/>
      </c>
      <c r="Q216" s="12">
        <f>PROPER(TRIM(SUBSTITUTE(SUBSTITUTE(SUBSTITUTE(SUBSTITUTE(E216,"TRESEMME","Tresemme"),"HEAD &amp; SHOULDERS","Head &amp; Shoulders"),"ELVIVE","Elvive"),"FRUCTIS","Fructis")))</f>
        <v/>
      </c>
      <c r="R216" s="12">
        <f>COUNTIF($D$2:$D$10000,D216)&gt;1</f>
        <v/>
      </c>
      <c r="S216" s="12">
        <f>IF(H216=TRUE,"Disponible","No disponible")</f>
        <v/>
      </c>
      <c r="T216" s="12">
        <f>IF(AND(ISNUMBER(I216),I216&gt;0),ROUND(F216/I216,2),"Sin volumen")</f>
        <v/>
      </c>
      <c r="U216" s="12">
        <f>IF(F216&lt;5000,"Bajo",IF(F216&lt;15000,"Medio","Alto"))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TRIM(CLEAN(PROPER(D218)))</f>
        <v/>
      </c>
      <c r="Q218" s="12">
        <f>PROPER(TRIM(SUBSTITUTE(SUBSTITUTE(SUBSTITUTE(SUBSTITUTE(E218,"TRESEMME","Tresemme"),"HEAD &amp; SHOULDERS","Head &amp; Shoulders"),"ELVIVE","Elvive"),"FRUCTIS","Fructis")))</f>
        <v/>
      </c>
      <c r="R218" s="12">
        <f>COUNTIF($D$2:$D$10000,D218)&gt;1</f>
        <v/>
      </c>
      <c r="S218" s="12">
        <f>IF(H218=TRUE,"Disponible","No disponible")</f>
        <v/>
      </c>
      <c r="T218" s="12">
        <f>IF(AND(ISNUMBER(I218),I218&gt;0),ROUND(F218/I218,2),"Sin volumen")</f>
        <v/>
      </c>
      <c r="U218" s="12">
        <f>IF(F218&lt;5000,"Bajo",IF(F218&lt;15000,"Medio","Alto"))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TRIM(CLEAN(PROPER(D220)))</f>
        <v/>
      </c>
      <c r="Q220" s="12">
        <f>PROPER(TRIM(SUBSTITUTE(SUBSTITUTE(SUBSTITUTE(SUBSTITUTE(E220,"TRESEMME","Tresemme"),"HEAD &amp; SHOULDERS","Head &amp; Shoulders"),"ELVIVE","Elvive"),"FRUCTIS","Fructis")))</f>
        <v/>
      </c>
      <c r="R220" s="12">
        <f>COUNTIF($D$2:$D$10000,D220)&gt;1</f>
        <v/>
      </c>
      <c r="S220" s="12">
        <f>IF(H220=TRUE,"Disponible","No disponible")</f>
        <v/>
      </c>
      <c r="T220" s="12">
        <f>IF(AND(ISNUMBER(I220),I220&gt;0),ROUND(F220/I220,2),"Sin volumen")</f>
        <v/>
      </c>
      <c r="U220" s="12">
        <f>IF(F220&lt;5000,"Bajo",IF(F220&lt;15000,"Medio","Alto"))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TRIM(CLEAN(PROPER(D222)))</f>
        <v/>
      </c>
      <c r="Q222" s="12">
        <f>PROPER(TRIM(SUBSTITUTE(SUBSTITUTE(SUBSTITUTE(SUBSTITUTE(E222,"TRESEMME","Tresemme"),"HEAD &amp; SHOULDERS","Head &amp; Shoulders"),"ELVIVE","Elvive"),"FRUCTIS","Fructis")))</f>
        <v/>
      </c>
      <c r="R222" s="12">
        <f>COUNTIF($D$2:$D$10000,D222)&gt;1</f>
        <v/>
      </c>
      <c r="S222" s="12">
        <f>IF(H222=TRUE,"Disponible","No disponible")</f>
        <v/>
      </c>
      <c r="T222" s="12">
        <f>IF(AND(ISNUMBER(I222),I222&gt;0),ROUND(F222/I222,2),"Sin volumen")</f>
        <v/>
      </c>
      <c r="U222" s="12">
        <f>IF(F222&lt;5000,"Bajo",IF(F222&lt;15000,"Medio","Alto"))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TRIM(CLEAN(PROPER(D224)))</f>
        <v/>
      </c>
      <c r="Q224" s="12">
        <f>PROPER(TRIM(SUBSTITUTE(SUBSTITUTE(SUBSTITUTE(SUBSTITUTE(E224,"TRESEMME","Tresemme"),"HEAD &amp; SHOULDERS","Head &amp; Shoulders"),"ELVIVE","Elvive"),"FRUCTIS","Fructis")))</f>
        <v/>
      </c>
      <c r="R224" s="12">
        <f>COUNTIF($D$2:$D$10000,D224)&gt;1</f>
        <v/>
      </c>
      <c r="S224" s="12">
        <f>IF(H224=TRUE,"Disponible","No disponible")</f>
        <v/>
      </c>
      <c r="T224" s="12">
        <f>IF(AND(ISNUMBER(I224),I224&gt;0),ROUND(F224/I224,2),"Sin volumen")</f>
        <v/>
      </c>
      <c r="U224" s="12">
        <f>IF(F224&lt;5000,"Bajo",IF(F224&lt;15000,"Medio","Alto"))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TRIM(CLEAN(PROPER(D226)))</f>
        <v/>
      </c>
      <c r="Q226" s="12">
        <f>PROPER(TRIM(SUBSTITUTE(SUBSTITUTE(SUBSTITUTE(SUBSTITUTE(E226,"TRESEMME","Tresemme"),"HEAD &amp; SHOULDERS","Head &amp; Shoulders"),"ELVIVE","Elvive"),"FRUCTIS","Fructis")))</f>
        <v/>
      </c>
      <c r="R226" s="12">
        <f>COUNTIF($D$2:$D$10000,D226)&gt;1</f>
        <v/>
      </c>
      <c r="S226" s="12">
        <f>IF(H226=TRUE,"Disponible","No disponible")</f>
        <v/>
      </c>
      <c r="T226" s="12">
        <f>IF(AND(ISNUMBER(I226),I226&gt;0),ROUND(F226/I226,2),"Sin volumen")</f>
        <v/>
      </c>
      <c r="U226" s="12">
        <f>IF(F226&lt;5000,"Bajo",IF(F226&lt;15000,"Medio","Alto"))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TRIM(CLEAN(PROPER(D228)))</f>
        <v/>
      </c>
      <c r="Q228" s="12">
        <f>PROPER(TRIM(SUBSTITUTE(SUBSTITUTE(SUBSTITUTE(SUBSTITUTE(E228,"TRESEMME","Tresemme"),"HEAD &amp; SHOULDERS","Head &amp; Shoulders"),"ELVIVE","Elvive"),"FRUCTIS","Fructis")))</f>
        <v/>
      </c>
      <c r="R228" s="12">
        <f>COUNTIF($D$2:$D$10000,D228)&gt;1</f>
        <v/>
      </c>
      <c r="S228" s="12">
        <f>IF(H228=TRUE,"Disponible","No disponible")</f>
        <v/>
      </c>
      <c r="T228" s="12">
        <f>IF(AND(ISNUMBER(I228),I228&gt;0),ROUND(F228/I228,2),"Sin volumen")</f>
        <v/>
      </c>
      <c r="U228" s="12">
        <f>IF(F228&lt;5000,"Bajo",IF(F228&lt;15000,"Medio","Alto"))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TRIM(CLEAN(PROPER(D230)))</f>
        <v/>
      </c>
      <c r="Q230" s="12">
        <f>PROPER(TRIM(SUBSTITUTE(SUBSTITUTE(SUBSTITUTE(SUBSTITUTE(E230,"TRESEMME","Tresemme"),"HEAD &amp; SHOULDERS","Head &amp; Shoulders"),"ELVIVE","Elvive"),"FRUCTIS","Fructis")))</f>
        <v/>
      </c>
      <c r="R230" s="12">
        <f>COUNTIF($D$2:$D$10000,D230)&gt;1</f>
        <v/>
      </c>
      <c r="S230" s="12">
        <f>IF(H230=TRUE,"Disponible","No disponible")</f>
        <v/>
      </c>
      <c r="T230" s="12">
        <f>IF(AND(ISNUMBER(I230),I230&gt;0),ROUND(F230/I230,2),"Sin volumen")</f>
        <v/>
      </c>
      <c r="U230" s="12">
        <f>IF(F230&lt;5000,"Bajo",IF(F230&lt;15000,"Medio","Alto"))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TRIM(CLEAN(PROPER(D232)))</f>
        <v/>
      </c>
      <c r="Q232" s="12">
        <f>PROPER(TRIM(SUBSTITUTE(SUBSTITUTE(SUBSTITUTE(SUBSTITUTE(E232,"TRESEMME","Tresemme"),"HEAD &amp; SHOULDERS","Head &amp; Shoulders"),"ELVIVE","Elvive"),"FRUCTIS","Fructis")))</f>
        <v/>
      </c>
      <c r="R232" s="12">
        <f>COUNTIF($D$2:$D$10000,D232)&gt;1</f>
        <v/>
      </c>
      <c r="S232" s="12">
        <f>IF(H232=TRUE,"Disponible","No disponible")</f>
        <v/>
      </c>
      <c r="T232" s="12">
        <f>IF(AND(ISNUMBER(I232),I232&gt;0),ROUND(F232/I232,2),"Sin volumen")</f>
        <v/>
      </c>
      <c r="U232" s="12">
        <f>IF(F232&lt;5000,"Bajo",IF(F232&lt;15000,"Medio","Alto"))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TRIM(CLEAN(PROPER(D234)))</f>
        <v/>
      </c>
      <c r="Q234" s="12">
        <f>PROPER(TRIM(SUBSTITUTE(SUBSTITUTE(SUBSTITUTE(SUBSTITUTE(E234,"TRESEMME","Tresemme"),"HEAD &amp; SHOULDERS","Head &amp; Shoulders"),"ELVIVE","Elvive"),"FRUCTIS","Fructis")))</f>
        <v/>
      </c>
      <c r="R234" s="12">
        <f>COUNTIF($D$2:$D$10000,D234)&gt;1</f>
        <v/>
      </c>
      <c r="S234" s="12">
        <f>IF(H234=TRUE,"Disponible","No disponible")</f>
        <v/>
      </c>
      <c r="T234" s="12">
        <f>IF(AND(ISNUMBER(I234),I234&gt;0),ROUND(F234/I234,2),"Sin volumen")</f>
        <v/>
      </c>
      <c r="U234" s="12">
        <f>IF(F234&lt;5000,"Bajo",IF(F234&lt;15000,"Medio","Alto"))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TRIM(CLEAN(PROPER(D236)))</f>
        <v/>
      </c>
      <c r="Q236" s="12">
        <f>PROPER(TRIM(SUBSTITUTE(SUBSTITUTE(SUBSTITUTE(SUBSTITUTE(E236,"TRESEMME","Tresemme"),"HEAD &amp; SHOULDERS","Head &amp; Shoulders"),"ELVIVE","Elvive"),"FRUCTIS","Fructis")))</f>
        <v/>
      </c>
      <c r="R236" s="12">
        <f>COUNTIF($D$2:$D$10000,D236)&gt;1</f>
        <v/>
      </c>
      <c r="S236" s="12">
        <f>IF(H236=TRUE,"Disponible","No disponible")</f>
        <v/>
      </c>
      <c r="T236" s="12">
        <f>IF(AND(ISNUMBER(I236),I236&gt;0),ROUND(F236/I236,2),"Sin volumen")</f>
        <v/>
      </c>
      <c r="U236" s="12">
        <f>IF(F236&lt;5000,"Bajo",IF(F236&lt;15000,"Medio","Alto"))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TRIM(CLEAN(PROPER(D238)))</f>
        <v/>
      </c>
      <c r="Q238" s="12">
        <f>PROPER(TRIM(SUBSTITUTE(SUBSTITUTE(SUBSTITUTE(SUBSTITUTE(E238,"TRESEMME","Tresemme"),"HEAD &amp; SHOULDERS","Head &amp; Shoulders"),"ELVIVE","Elvive"),"FRUCTIS","Fructis")))</f>
        <v/>
      </c>
      <c r="R238" s="12">
        <f>COUNTIF($D$2:$D$10000,D238)&gt;1</f>
        <v/>
      </c>
      <c r="S238" s="12">
        <f>IF(H238=TRUE,"Disponible","No disponible")</f>
        <v/>
      </c>
      <c r="T238" s="12">
        <f>IF(AND(ISNUMBER(I238),I238&gt;0),ROUND(F238/I238,2),"Sin volumen")</f>
        <v/>
      </c>
      <c r="U238" s="12">
        <f>IF(F238&lt;5000,"Bajo",IF(F238&lt;15000,"Medio","Alto"))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TRIM(CLEAN(PROPER(D240)))</f>
        <v/>
      </c>
      <c r="Q240" s="12">
        <f>PROPER(TRIM(SUBSTITUTE(SUBSTITUTE(SUBSTITUTE(SUBSTITUTE(E240,"TRESEMME","Tresemme"),"HEAD &amp; SHOULDERS","Head &amp; Shoulders"),"ELVIVE","Elvive"),"FRUCTIS","Fructis")))</f>
        <v/>
      </c>
      <c r="R240" s="12">
        <f>COUNTIF($D$2:$D$10000,D240)&gt;1</f>
        <v/>
      </c>
      <c r="S240" s="12">
        <f>IF(H240=TRUE,"Disponible","No disponible")</f>
        <v/>
      </c>
      <c r="T240" s="12">
        <f>IF(AND(ISNUMBER(I240),I240&gt;0),ROUND(F240/I240,2),"Sin volumen")</f>
        <v/>
      </c>
      <c r="U240" s="12">
        <f>IF(F240&lt;5000,"Bajo",IF(F240&lt;15000,"Medio","Alto"))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TRIM(CLEAN(PROPER(D242)))</f>
        <v/>
      </c>
      <c r="Q242" s="12">
        <f>PROPER(TRIM(SUBSTITUTE(SUBSTITUTE(SUBSTITUTE(SUBSTITUTE(E242,"TRESEMME","Tresemme"),"HEAD &amp; SHOULDERS","Head &amp; Shoulders"),"ELVIVE","Elvive"),"FRUCTIS","Fructis")))</f>
        <v/>
      </c>
      <c r="R242" s="12">
        <f>COUNTIF($D$2:$D$10000,D242)&gt;1</f>
        <v/>
      </c>
      <c r="S242" s="12">
        <f>IF(H242=TRUE,"Disponible","No disponible")</f>
        <v/>
      </c>
      <c r="T242" s="12">
        <f>IF(AND(ISNUMBER(I242),I242&gt;0),ROUND(F242/I242,2),"Sin volumen")</f>
        <v/>
      </c>
      <c r="U242" s="12">
        <f>IF(F242&lt;5000,"Bajo",IF(F242&lt;15000,"Medio","Alto"))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TRIM(CLEAN(PROPER(D244)))</f>
        <v/>
      </c>
      <c r="Q244" s="12">
        <f>PROPER(TRIM(SUBSTITUTE(SUBSTITUTE(SUBSTITUTE(SUBSTITUTE(E244,"TRESEMME","Tresemme"),"HEAD &amp; SHOULDERS","Head &amp; Shoulders"),"ELVIVE","Elvive"),"FRUCTIS","Fructis")))</f>
        <v/>
      </c>
      <c r="R244" s="12">
        <f>COUNTIF($D$2:$D$10000,D244)&gt;1</f>
        <v/>
      </c>
      <c r="S244" s="12">
        <f>IF(H244=TRUE,"Disponible","No disponible")</f>
        <v/>
      </c>
      <c r="T244" s="12">
        <f>IF(AND(ISNUMBER(I244),I244&gt;0),ROUND(F244/I244,2),"Sin volumen")</f>
        <v/>
      </c>
      <c r="U244" s="12">
        <f>IF(F244&lt;5000,"Bajo",IF(F244&lt;15000,"Medio","Alto"))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TRIM(CLEAN(PROPER(D246)))</f>
        <v/>
      </c>
      <c r="Q246" s="12">
        <f>PROPER(TRIM(SUBSTITUTE(SUBSTITUTE(SUBSTITUTE(SUBSTITUTE(E246,"TRESEMME","Tresemme"),"HEAD &amp; SHOULDERS","Head &amp; Shoulders"),"ELVIVE","Elvive"),"FRUCTIS","Fructis")))</f>
        <v/>
      </c>
      <c r="R246" s="12">
        <f>COUNTIF($D$2:$D$10000,D246)&gt;1</f>
        <v/>
      </c>
      <c r="S246" s="12">
        <f>IF(H246=TRUE,"Disponible","No disponible")</f>
        <v/>
      </c>
      <c r="T246" s="12">
        <f>IF(AND(ISNUMBER(I246),I246&gt;0),ROUND(F246/I246,2),"Sin volumen")</f>
        <v/>
      </c>
      <c r="U246" s="12">
        <f>IF(F246&lt;5000,"Bajo",IF(F246&lt;15000,"Medio","Alto"))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TRIM(CLEAN(PROPER(D248)))</f>
        <v/>
      </c>
      <c r="Q248" s="12">
        <f>PROPER(TRIM(SUBSTITUTE(SUBSTITUTE(SUBSTITUTE(SUBSTITUTE(E248,"TRESEMME","Tresemme"),"HEAD &amp; SHOULDERS","Head &amp; Shoulders"),"ELVIVE","Elvive"),"FRUCTIS","Fructis")))</f>
        <v/>
      </c>
      <c r="R248" s="12">
        <f>COUNTIF($D$2:$D$10000,D248)&gt;1</f>
        <v/>
      </c>
      <c r="S248" s="12">
        <f>IF(H248=TRUE,"Disponible","No disponible")</f>
        <v/>
      </c>
      <c r="T248" s="12">
        <f>IF(AND(ISNUMBER(I248),I248&gt;0),ROUND(F248/I248,2),"Sin volumen")</f>
        <v/>
      </c>
      <c r="U248" s="12">
        <f>IF(F248&lt;5000,"Bajo",IF(F248&lt;15000,"Medio","Alto"))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TRIM(CLEAN(PROPER(D250)))</f>
        <v/>
      </c>
      <c r="Q250" s="12">
        <f>PROPER(TRIM(SUBSTITUTE(SUBSTITUTE(SUBSTITUTE(SUBSTITUTE(E250,"TRESEMME","Tresemme"),"HEAD &amp; SHOULDERS","Head &amp; Shoulders"),"ELVIVE","Elvive"),"FRUCTIS","Fructis")))</f>
        <v/>
      </c>
      <c r="R250" s="12">
        <f>COUNTIF($D$2:$D$10000,D250)&gt;1</f>
        <v/>
      </c>
      <c r="S250" s="12">
        <f>IF(H250=TRUE,"Disponible","No disponible")</f>
        <v/>
      </c>
      <c r="T250" s="12">
        <f>IF(AND(ISNUMBER(I250),I250&gt;0),ROUND(F250/I250,2),"Sin volumen")</f>
        <v/>
      </c>
      <c r="U250" s="12">
        <f>IF(F250&lt;5000,"Bajo",IF(F250&lt;15000,"Medio","Alto"))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TRIM(CLEAN(PROPER(D252)))</f>
        <v/>
      </c>
      <c r="Q252" s="12">
        <f>PROPER(TRIM(SUBSTITUTE(SUBSTITUTE(SUBSTITUTE(SUBSTITUTE(E252,"TRESEMME","Tresemme"),"HEAD &amp; SHOULDERS","Head &amp; Shoulders"),"ELVIVE","Elvive"),"FRUCTIS","Fructis")))</f>
        <v/>
      </c>
      <c r="R252" s="12">
        <f>COUNTIF($D$2:$D$10000,D252)&gt;1</f>
        <v/>
      </c>
      <c r="S252" s="12">
        <f>IF(H252=TRUE,"Disponible","No disponible")</f>
        <v/>
      </c>
      <c r="T252" s="12">
        <f>IF(AND(ISNUMBER(I252),I252&gt;0),ROUND(F252/I252,2),"Sin volumen")</f>
        <v/>
      </c>
      <c r="U252" s="12">
        <f>IF(F252&lt;5000,"Bajo",IF(F252&lt;15000,"Medio","Alto"))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TRIM(CLEAN(PROPER(D254)))</f>
        <v/>
      </c>
      <c r="Q254" s="12">
        <f>PROPER(TRIM(SUBSTITUTE(SUBSTITUTE(SUBSTITUTE(SUBSTITUTE(E254,"TRESEMME","Tresemme"),"HEAD &amp; SHOULDERS","Head &amp; Shoulders"),"ELVIVE","Elvive"),"FRUCTIS","Fructis")))</f>
        <v/>
      </c>
      <c r="R254" s="12">
        <f>COUNTIF($D$2:$D$10000,D254)&gt;1</f>
        <v/>
      </c>
      <c r="S254" s="12">
        <f>IF(H254=TRUE,"Disponible","No disponible")</f>
        <v/>
      </c>
      <c r="T254" s="12">
        <f>IF(AND(ISNUMBER(I254),I254&gt;0),ROUND(F254/I254,2),"Sin volumen")</f>
        <v/>
      </c>
      <c r="U254" s="12">
        <f>IF(F254&lt;5000,"Bajo",IF(F254&lt;15000,"Medio","Alto"))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TRIM(CLEAN(PROPER(D256)))</f>
        <v/>
      </c>
      <c r="Q256" s="12">
        <f>PROPER(TRIM(SUBSTITUTE(SUBSTITUTE(SUBSTITUTE(SUBSTITUTE(E256,"TRESEMME","Tresemme"),"HEAD &amp; SHOULDERS","Head &amp; Shoulders"),"ELVIVE","Elvive"),"FRUCTIS","Fructis")))</f>
        <v/>
      </c>
      <c r="R256" s="12">
        <f>COUNTIF($D$2:$D$10000,D256)&gt;1</f>
        <v/>
      </c>
      <c r="S256" s="12">
        <f>IF(H256=TRUE,"Disponible","No disponible")</f>
        <v/>
      </c>
      <c r="T256" s="12">
        <f>IF(AND(ISNUMBER(I256),I256&gt;0),ROUND(F256/I256,2),"Sin volumen")</f>
        <v/>
      </c>
      <c r="U256" s="12">
        <f>IF(F256&lt;5000,"Bajo",IF(F256&lt;15000,"Medio","Alto"))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TRIM(CLEAN(PROPER(D258)))</f>
        <v/>
      </c>
      <c r="Q258" s="12">
        <f>PROPER(TRIM(SUBSTITUTE(SUBSTITUTE(SUBSTITUTE(SUBSTITUTE(E258,"TRESEMME","Tresemme"),"HEAD &amp; SHOULDERS","Head &amp; Shoulders"),"ELVIVE","Elvive"),"FRUCTIS","Fructis")))</f>
        <v/>
      </c>
      <c r="R258" s="12">
        <f>COUNTIF($D$2:$D$10000,D258)&gt;1</f>
        <v/>
      </c>
      <c r="S258" s="12">
        <f>IF(H258=TRUE,"Disponible","No disponible")</f>
        <v/>
      </c>
      <c r="T258" s="12">
        <f>IF(AND(ISNUMBER(I258),I258&gt;0),ROUND(F258/I258,2),"Sin volumen")</f>
        <v/>
      </c>
      <c r="U258" s="12">
        <f>IF(F258&lt;5000,"Bajo",IF(F258&lt;15000,"Medio","Alto"))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TRIM(CLEAN(PROPER(D260)))</f>
        <v/>
      </c>
      <c r="Q260" s="12">
        <f>PROPER(TRIM(SUBSTITUTE(SUBSTITUTE(SUBSTITUTE(SUBSTITUTE(E260,"TRESEMME","Tresemme"),"HEAD &amp; SHOULDERS","Head &amp; Shoulders"),"ELVIVE","Elvive"),"FRUCTIS","Fructis")))</f>
        <v/>
      </c>
      <c r="R260" s="12">
        <f>COUNTIF($D$2:$D$10000,D260)&gt;1</f>
        <v/>
      </c>
      <c r="S260" s="12">
        <f>IF(H260=TRUE,"Disponible","No disponible")</f>
        <v/>
      </c>
      <c r="T260" s="12">
        <f>IF(AND(ISNUMBER(I260),I260&gt;0),ROUND(F260/I260,2),"Sin volumen")</f>
        <v/>
      </c>
      <c r="U260" s="12">
        <f>IF(F260&lt;5000,"Bajo",IF(F260&lt;15000,"Medio","Alto"))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TRIM(CLEAN(PROPER(D262)))</f>
        <v/>
      </c>
      <c r="Q262" s="12">
        <f>PROPER(TRIM(SUBSTITUTE(SUBSTITUTE(SUBSTITUTE(SUBSTITUTE(E262,"TRESEMME","Tresemme"),"HEAD &amp; SHOULDERS","Head &amp; Shoulders"),"ELVIVE","Elvive"),"FRUCTIS","Fructis")))</f>
        <v/>
      </c>
      <c r="R262" s="12">
        <f>COUNTIF($D$2:$D$10000,D262)&gt;1</f>
        <v/>
      </c>
      <c r="S262" s="12">
        <f>IF(H262=TRUE,"Disponible","No disponible")</f>
        <v/>
      </c>
      <c r="T262" s="12">
        <f>IF(AND(ISNUMBER(I262),I262&gt;0),ROUND(F262/I262,2),"Sin volumen")</f>
        <v/>
      </c>
      <c r="U262" s="12">
        <f>IF(F262&lt;5000,"Bajo",IF(F262&lt;15000,"Medio","Alto"))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TRIM(CLEAN(PROPER(D264)))</f>
        <v/>
      </c>
      <c r="Q264" s="12">
        <f>PROPER(TRIM(SUBSTITUTE(SUBSTITUTE(SUBSTITUTE(SUBSTITUTE(E264,"TRESEMME","Tresemme"),"HEAD &amp; SHOULDERS","Head &amp; Shoulders"),"ELVIVE","Elvive"),"FRUCTIS","Fructis")))</f>
        <v/>
      </c>
      <c r="R264" s="12">
        <f>COUNTIF($D$2:$D$10000,D264)&gt;1</f>
        <v/>
      </c>
      <c r="S264" s="12">
        <f>IF(H264=TRUE,"Disponible","No disponible")</f>
        <v/>
      </c>
      <c r="T264" s="12">
        <f>IF(AND(ISNUMBER(I264),I264&gt;0),ROUND(F264/I264,2),"Sin volumen")</f>
        <v/>
      </c>
      <c r="U264" s="12">
        <f>IF(F264&lt;5000,"Bajo",IF(F264&lt;15000,"Medio","Alto"))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TRIM(CLEAN(PROPER(D266)))</f>
        <v/>
      </c>
      <c r="Q266" s="12">
        <f>PROPER(TRIM(SUBSTITUTE(SUBSTITUTE(SUBSTITUTE(SUBSTITUTE(E266,"TRESEMME","Tresemme"),"HEAD &amp; SHOULDERS","Head &amp; Shoulders"),"ELVIVE","Elvive"),"FRUCTIS","Fructis")))</f>
        <v/>
      </c>
      <c r="R266" s="12">
        <f>COUNTIF($D$2:$D$10000,D266)&gt;1</f>
        <v/>
      </c>
      <c r="S266" s="12">
        <f>IF(H266=TRUE,"Disponible","No disponible")</f>
        <v/>
      </c>
      <c r="T266" s="12">
        <f>IF(AND(ISNUMBER(I266),I266&gt;0),ROUND(F266/I266,2),"Sin volumen")</f>
        <v/>
      </c>
      <c r="U266" s="12">
        <f>IF(F266&lt;5000,"Bajo",IF(F266&lt;15000,"Medio","Alto"))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TRIM(CLEAN(PROPER(D268)))</f>
        <v/>
      </c>
      <c r="Q268" s="12">
        <f>PROPER(TRIM(SUBSTITUTE(SUBSTITUTE(SUBSTITUTE(SUBSTITUTE(E268,"TRESEMME","Tresemme"),"HEAD &amp; SHOULDERS","Head &amp; Shoulders"),"ELVIVE","Elvive"),"FRUCTIS","Fructis")))</f>
        <v/>
      </c>
      <c r="R268" s="12">
        <f>COUNTIF($D$2:$D$10000,D268)&gt;1</f>
        <v/>
      </c>
      <c r="S268" s="12">
        <f>IF(H268=TRUE,"Disponible","No disponible")</f>
        <v/>
      </c>
      <c r="T268" s="12">
        <f>IF(AND(ISNUMBER(I268),I268&gt;0),ROUND(F268/I268,2),"Sin volumen")</f>
        <v/>
      </c>
      <c r="U268" s="12">
        <f>IF(F268&lt;5000,"Bajo",IF(F268&lt;15000,"Medio","Alto"))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TRIM(CLEAN(PROPER(D270)))</f>
        <v/>
      </c>
      <c r="Q270" s="12">
        <f>PROPER(TRIM(SUBSTITUTE(SUBSTITUTE(SUBSTITUTE(SUBSTITUTE(E270,"TRESEMME","Tresemme"),"HEAD &amp; SHOULDERS","Head &amp; Shoulders"),"ELVIVE","Elvive"),"FRUCTIS","Fructis")))</f>
        <v/>
      </c>
      <c r="R270" s="12">
        <f>COUNTIF($D$2:$D$10000,D270)&gt;1</f>
        <v/>
      </c>
      <c r="S270" s="12">
        <f>IF(H270=TRUE,"Disponible","No disponible")</f>
        <v/>
      </c>
      <c r="T270" s="12">
        <f>IF(AND(ISNUMBER(I270),I270&gt;0),ROUND(F270/I270,2),"Sin volumen")</f>
        <v/>
      </c>
      <c r="U270" s="12">
        <f>IF(F270&lt;5000,"Bajo",IF(F270&lt;15000,"Medio","Alto"))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TRIM(CLEAN(PROPER(D272)))</f>
        <v/>
      </c>
      <c r="Q272" s="12">
        <f>PROPER(TRIM(SUBSTITUTE(SUBSTITUTE(SUBSTITUTE(SUBSTITUTE(E272,"TRESEMME","Tresemme"),"HEAD &amp; SHOULDERS","Head &amp; Shoulders"),"ELVIVE","Elvive"),"FRUCTIS","Fructis")))</f>
        <v/>
      </c>
      <c r="R272" s="12">
        <f>COUNTIF($D$2:$D$10000,D272)&gt;1</f>
        <v/>
      </c>
      <c r="S272" s="12">
        <f>IF(H272=TRUE,"Disponible","No disponible")</f>
        <v/>
      </c>
      <c r="T272" s="12">
        <f>IF(AND(ISNUMBER(I272),I272&gt;0),ROUND(F272/I272,2),"Sin volumen")</f>
        <v/>
      </c>
      <c r="U272" s="12">
        <f>IF(F272&lt;5000,"Bajo",IF(F272&lt;15000,"Medio","Alto"))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TRIM(CLEAN(PROPER(D274)))</f>
        <v/>
      </c>
      <c r="Q274" s="12">
        <f>PROPER(TRIM(SUBSTITUTE(SUBSTITUTE(SUBSTITUTE(SUBSTITUTE(E274,"TRESEMME","Tresemme"),"HEAD &amp; SHOULDERS","Head &amp; Shoulders"),"ELVIVE","Elvive"),"FRUCTIS","Fructis")))</f>
        <v/>
      </c>
      <c r="R274" s="12">
        <f>COUNTIF($D$2:$D$10000,D274)&gt;1</f>
        <v/>
      </c>
      <c r="S274" s="12">
        <f>IF(H274=TRUE,"Disponible","No disponible")</f>
        <v/>
      </c>
      <c r="T274" s="12">
        <f>IF(AND(ISNUMBER(I274),I274&gt;0),ROUND(F274/I274,2),"Sin volumen")</f>
        <v/>
      </c>
      <c r="U274" s="12">
        <f>IF(F274&lt;5000,"Bajo",IF(F274&lt;15000,"Medio","Alto"))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TRIM(CLEAN(PROPER(D276)))</f>
        <v/>
      </c>
      <c r="Q276" s="12">
        <f>PROPER(TRIM(SUBSTITUTE(SUBSTITUTE(SUBSTITUTE(SUBSTITUTE(E276,"TRESEMME","Tresemme"),"HEAD &amp; SHOULDERS","Head &amp; Shoulders"),"ELVIVE","Elvive"),"FRUCTIS","Fructis")))</f>
        <v/>
      </c>
      <c r="R276" s="12">
        <f>COUNTIF($D$2:$D$10000,D276)&gt;1</f>
        <v/>
      </c>
      <c r="S276" s="12">
        <f>IF(H276=TRUE,"Disponible","No disponible")</f>
        <v/>
      </c>
      <c r="T276" s="12">
        <f>IF(AND(ISNUMBER(I276),I276&gt;0),ROUND(F276/I276,2),"Sin volumen")</f>
        <v/>
      </c>
      <c r="U276" s="12">
        <f>IF(F276&lt;5000,"Bajo",IF(F276&lt;15000,"Medio","Alto"))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TRIM(CLEAN(PROPER(D278)))</f>
        <v/>
      </c>
      <c r="Q278" s="12">
        <f>PROPER(TRIM(SUBSTITUTE(SUBSTITUTE(SUBSTITUTE(SUBSTITUTE(E278,"TRESEMME","Tresemme"),"HEAD &amp; SHOULDERS","Head &amp; Shoulders"),"ELVIVE","Elvive"),"FRUCTIS","Fructis")))</f>
        <v/>
      </c>
      <c r="R278" s="12">
        <f>COUNTIF($D$2:$D$10000,D278)&gt;1</f>
        <v/>
      </c>
      <c r="S278" s="12">
        <f>IF(H278=TRUE,"Disponible","No disponible")</f>
        <v/>
      </c>
      <c r="T278" s="12">
        <f>IF(AND(ISNUMBER(I278),I278&gt;0),ROUND(F278/I278,2),"Sin volumen")</f>
        <v/>
      </c>
      <c r="U278" s="12">
        <f>IF(F278&lt;5000,"Bajo",IF(F278&lt;15000,"Medio","Alto"))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TRIM(CLEAN(PROPER(D280)))</f>
        <v/>
      </c>
      <c r="Q280" s="12">
        <f>PROPER(TRIM(SUBSTITUTE(SUBSTITUTE(SUBSTITUTE(SUBSTITUTE(E280,"TRESEMME","Tresemme"),"HEAD &amp; SHOULDERS","Head &amp; Shoulders"),"ELVIVE","Elvive"),"FRUCTIS","Fructis")))</f>
        <v/>
      </c>
      <c r="R280" s="12">
        <f>COUNTIF($D$2:$D$10000,D280)&gt;1</f>
        <v/>
      </c>
      <c r="S280" s="12">
        <f>IF(H280=TRUE,"Disponible","No disponible")</f>
        <v/>
      </c>
      <c r="T280" s="12">
        <f>IF(AND(ISNUMBER(I280),I280&gt;0),ROUND(F280/I280,2),"Sin volumen")</f>
        <v/>
      </c>
      <c r="U280" s="12">
        <f>IF(F280&lt;5000,"Bajo",IF(F280&lt;15000,"Medio","Alto"))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TRIM(CLEAN(PROPER(D282)))</f>
        <v/>
      </c>
      <c r="Q282" s="12">
        <f>PROPER(TRIM(SUBSTITUTE(SUBSTITUTE(SUBSTITUTE(SUBSTITUTE(E282,"TRESEMME","Tresemme"),"HEAD &amp; SHOULDERS","Head &amp; Shoulders"),"ELVIVE","Elvive"),"FRUCTIS","Fructis")))</f>
        <v/>
      </c>
      <c r="R282" s="12">
        <f>COUNTIF($D$2:$D$10000,D282)&gt;1</f>
        <v/>
      </c>
      <c r="S282" s="12">
        <f>IF(H282=TRUE,"Disponible","No disponible")</f>
        <v/>
      </c>
      <c r="T282" s="12">
        <f>IF(AND(ISNUMBER(I282),I282&gt;0),ROUND(F282/I282,2),"Sin volumen")</f>
        <v/>
      </c>
      <c r="U282" s="12">
        <f>IF(F282&lt;5000,"Bajo",IF(F282&lt;15000,"Medio","Alto"))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TRIM(CLEAN(PROPER(D284)))</f>
        <v/>
      </c>
      <c r="Q284" s="12">
        <f>PROPER(TRIM(SUBSTITUTE(SUBSTITUTE(SUBSTITUTE(SUBSTITUTE(E284,"TRESEMME","Tresemme"),"HEAD &amp; SHOULDERS","Head &amp; Shoulders"),"ELVIVE","Elvive"),"FRUCTIS","Fructis")))</f>
        <v/>
      </c>
      <c r="R284" s="12">
        <f>COUNTIF($D$2:$D$10000,D284)&gt;1</f>
        <v/>
      </c>
      <c r="S284" s="12">
        <f>IF(H284=TRUE,"Disponible","No disponible")</f>
        <v/>
      </c>
      <c r="T284" s="12">
        <f>IF(AND(ISNUMBER(I284),I284&gt;0),ROUND(F284/I284,2),"Sin volumen")</f>
        <v/>
      </c>
      <c r="U284" s="12">
        <f>IF(F284&lt;5000,"Bajo",IF(F284&lt;15000,"Medio","Alto"))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TRIM(CLEAN(PROPER(D286)))</f>
        <v/>
      </c>
      <c r="Q286" s="12">
        <f>PROPER(TRIM(SUBSTITUTE(SUBSTITUTE(SUBSTITUTE(SUBSTITUTE(E286,"TRESEMME","Tresemme"),"HEAD &amp; SHOULDERS","Head &amp; Shoulders"),"ELVIVE","Elvive"),"FRUCTIS","Fructis")))</f>
        <v/>
      </c>
      <c r="R286" s="12">
        <f>COUNTIF($D$2:$D$10000,D286)&gt;1</f>
        <v/>
      </c>
      <c r="S286" s="12">
        <f>IF(H286=TRUE,"Disponible","No disponible")</f>
        <v/>
      </c>
      <c r="T286" s="12">
        <f>IF(AND(ISNUMBER(I286),I286&gt;0),ROUND(F286/I286,2),"Sin volumen")</f>
        <v/>
      </c>
      <c r="U286" s="12">
        <f>IF(F286&lt;5000,"Bajo",IF(F286&lt;15000,"Medio","Alto"))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TRIM(CLEAN(PROPER(D288)))</f>
        <v/>
      </c>
      <c r="Q288" s="12">
        <f>PROPER(TRIM(SUBSTITUTE(SUBSTITUTE(SUBSTITUTE(SUBSTITUTE(E288,"TRESEMME","Tresemme"),"HEAD &amp; SHOULDERS","Head &amp; Shoulders"),"ELVIVE","Elvive"),"FRUCTIS","Fructis")))</f>
        <v/>
      </c>
      <c r="R288" s="12">
        <f>COUNTIF($D$2:$D$10000,D288)&gt;1</f>
        <v/>
      </c>
      <c r="S288" s="12">
        <f>IF(H288=TRUE,"Disponible","No disponible")</f>
        <v/>
      </c>
      <c r="T288" s="12">
        <f>IF(AND(ISNUMBER(I288),I288&gt;0),ROUND(F288/I288,2),"Sin volumen")</f>
        <v/>
      </c>
      <c r="U288" s="12">
        <f>IF(F288&lt;5000,"Bajo",IF(F288&lt;15000,"Medio","Alto"))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TRIM(CLEAN(PROPER(D290)))</f>
        <v/>
      </c>
      <c r="Q290" s="12">
        <f>PROPER(TRIM(SUBSTITUTE(SUBSTITUTE(SUBSTITUTE(SUBSTITUTE(E290,"TRESEMME","Tresemme"),"HEAD &amp; SHOULDERS","Head &amp; Shoulders"),"ELVIVE","Elvive"),"FRUCTIS","Fructis")))</f>
        <v/>
      </c>
      <c r="R290" s="12">
        <f>COUNTIF($D$2:$D$10000,D290)&gt;1</f>
        <v/>
      </c>
      <c r="S290" s="12">
        <f>IF(H290=TRUE,"Disponible","No disponible")</f>
        <v/>
      </c>
      <c r="T290" s="12">
        <f>IF(AND(ISNUMBER(I290),I290&gt;0),ROUND(F290/I290,2),"Sin volumen")</f>
        <v/>
      </c>
      <c r="U290" s="12">
        <f>IF(F290&lt;5000,"Bajo",IF(F290&lt;15000,"Medio","Alto"))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TRIM(CLEAN(PROPER(D292)))</f>
        <v/>
      </c>
      <c r="Q292" s="12">
        <f>PROPER(TRIM(SUBSTITUTE(SUBSTITUTE(SUBSTITUTE(SUBSTITUTE(E292,"TRESEMME","Tresemme"),"HEAD &amp; SHOULDERS","Head &amp; Shoulders"),"ELVIVE","Elvive"),"FRUCTIS","Fructis")))</f>
        <v/>
      </c>
      <c r="R292" s="12">
        <f>COUNTIF($D$2:$D$10000,D292)&gt;1</f>
        <v/>
      </c>
      <c r="S292" s="12">
        <f>IF(H292=TRUE,"Disponible","No disponible")</f>
        <v/>
      </c>
      <c r="T292" s="12">
        <f>IF(AND(ISNUMBER(I292),I292&gt;0),ROUND(F292/I292,2),"Sin volumen")</f>
        <v/>
      </c>
      <c r="U292" s="12">
        <f>IF(F292&lt;5000,"Bajo",IF(F292&lt;15000,"Medio","Alto"))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TRIM(CLEAN(PROPER(D294)))</f>
        <v/>
      </c>
      <c r="Q294" s="12">
        <f>PROPER(TRIM(SUBSTITUTE(SUBSTITUTE(SUBSTITUTE(SUBSTITUTE(E294,"TRESEMME","Tresemme"),"HEAD &amp; SHOULDERS","Head &amp; Shoulders"),"ELVIVE","Elvive"),"FRUCTIS","Fructis")))</f>
        <v/>
      </c>
      <c r="R294" s="12">
        <f>COUNTIF($D$2:$D$10000,D294)&gt;1</f>
        <v/>
      </c>
      <c r="S294" s="12">
        <f>IF(H294=TRUE,"Disponible","No disponible")</f>
        <v/>
      </c>
      <c r="T294" s="12">
        <f>IF(AND(ISNUMBER(I294),I294&gt;0),ROUND(F294/I294,2),"Sin volumen")</f>
        <v/>
      </c>
      <c r="U294" s="12">
        <f>IF(F294&lt;5000,"Bajo",IF(F294&lt;15000,"Medio","Alto"))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TRIM(CLEAN(PROPER(D296)))</f>
        <v/>
      </c>
      <c r="Q296" s="12">
        <f>PROPER(TRIM(SUBSTITUTE(SUBSTITUTE(SUBSTITUTE(SUBSTITUTE(E296,"TRESEMME","Tresemme"),"HEAD &amp; SHOULDERS","Head &amp; Shoulders"),"ELVIVE","Elvive"),"FRUCTIS","Fructis")))</f>
        <v/>
      </c>
      <c r="R296" s="12">
        <f>COUNTIF($D$2:$D$10000,D296)&gt;1</f>
        <v/>
      </c>
      <c r="S296" s="12">
        <f>IF(H296=TRUE,"Disponible","No disponible")</f>
        <v/>
      </c>
      <c r="T296" s="12">
        <f>IF(AND(ISNUMBER(I296),I296&gt;0),ROUND(F296/I296,2),"Sin volumen")</f>
        <v/>
      </c>
      <c r="U296" s="12">
        <f>IF(F296&lt;5000,"Bajo",IF(F296&lt;15000,"Medio","Alto"))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TRIM(CLEAN(PROPER(D298)))</f>
        <v/>
      </c>
      <c r="Q298" s="12">
        <f>PROPER(TRIM(SUBSTITUTE(SUBSTITUTE(SUBSTITUTE(SUBSTITUTE(E298,"TRESEMME","Tresemme"),"HEAD &amp; SHOULDERS","Head &amp; Shoulders"),"ELVIVE","Elvive"),"FRUCTIS","Fructis")))</f>
        <v/>
      </c>
      <c r="R298" s="12">
        <f>COUNTIF($D$2:$D$10000,D298)&gt;1</f>
        <v/>
      </c>
      <c r="S298" s="12">
        <f>IF(H298=TRUE,"Disponible","No disponible")</f>
        <v/>
      </c>
      <c r="T298" s="12">
        <f>IF(AND(ISNUMBER(I298),I298&gt;0),ROUND(F298/I298,2),"Sin volumen")</f>
        <v/>
      </c>
      <c r="U298" s="12">
        <f>IF(F298&lt;5000,"Bajo",IF(F298&lt;15000,"Medio","Alto"))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TRIM(CLEAN(PROPER(D300)))</f>
        <v/>
      </c>
      <c r="Q300" s="12">
        <f>PROPER(TRIM(SUBSTITUTE(SUBSTITUTE(SUBSTITUTE(SUBSTITUTE(E300,"TRESEMME","Tresemme"),"HEAD &amp; SHOULDERS","Head &amp; Shoulders"),"ELVIVE","Elvive"),"FRUCTIS","Fructis")))</f>
        <v/>
      </c>
      <c r="R300" s="12">
        <f>COUNTIF($D$2:$D$10000,D300)&gt;1</f>
        <v/>
      </c>
      <c r="S300" s="12">
        <f>IF(H300=TRUE,"Disponible","No disponible")</f>
        <v/>
      </c>
      <c r="T300" s="12">
        <f>IF(AND(ISNUMBER(I300),I300&gt;0),ROUND(F300/I300,2),"Sin volumen")</f>
        <v/>
      </c>
      <c r="U300" s="12">
        <f>IF(F300&lt;5000,"Bajo",IF(F300&lt;15000,"Medio","Alto"))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TRIM(CLEAN(PROPER(D302)))</f>
        <v/>
      </c>
      <c r="Q302" s="12">
        <f>PROPER(TRIM(SUBSTITUTE(SUBSTITUTE(SUBSTITUTE(SUBSTITUTE(E302,"TRESEMME","Tresemme"),"HEAD &amp; SHOULDERS","Head &amp; Shoulders"),"ELVIVE","Elvive"),"FRUCTIS","Fructis")))</f>
        <v/>
      </c>
      <c r="R302" s="12">
        <f>COUNTIF($D$2:$D$10000,D302)&gt;1</f>
        <v/>
      </c>
      <c r="S302" s="12">
        <f>IF(H302=TRUE,"Disponible","No disponible")</f>
        <v/>
      </c>
      <c r="T302" s="12">
        <f>IF(AND(ISNUMBER(I302),I302&gt;0),ROUND(F302/I302,2),"Sin volumen")</f>
        <v/>
      </c>
      <c r="U302" s="12">
        <f>IF(F302&lt;5000,"Bajo",IF(F302&lt;15000,"Medio","Alto"))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TRIM(CLEAN(PROPER(D304)))</f>
        <v/>
      </c>
      <c r="Q304" s="12">
        <f>PROPER(TRIM(SUBSTITUTE(SUBSTITUTE(SUBSTITUTE(SUBSTITUTE(E304,"TRESEMME","Tresemme"),"HEAD &amp; SHOULDERS","Head &amp; Shoulders"),"ELVIVE","Elvive"),"FRUCTIS","Fructis")))</f>
        <v/>
      </c>
      <c r="R304" s="12">
        <f>COUNTIF($D$2:$D$10000,D304)&gt;1</f>
        <v/>
      </c>
      <c r="S304" s="12">
        <f>IF(H304=TRUE,"Disponible","No disponible")</f>
        <v/>
      </c>
      <c r="T304" s="12">
        <f>IF(AND(ISNUMBER(I304),I304&gt;0),ROUND(F304/I304,2),"Sin volumen")</f>
        <v/>
      </c>
      <c r="U304" s="12">
        <f>IF(F304&lt;5000,"Bajo",IF(F304&lt;15000,"Medio","Alto"))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3" t="inlineStr">
        <is>
          <t>Columna generada</t>
        </is>
      </c>
      <c r="B1" s="13" t="inlineStr">
        <is>
          <t>Fórmula (fila 2)</t>
        </is>
      </c>
      <c r="C1" s="13" t="inlineStr">
        <is>
          <t>Qué hace</t>
        </is>
      </c>
    </row>
    <row r="2">
      <c r="A2" t="inlineStr">
        <is>
          <t>nombre_limpio</t>
        </is>
      </c>
      <c r="B2">
        <f>TRIM(CLEAN(PROPER(D2)))</f>
        <v/>
      </c>
      <c r="C2" t="inlineStr">
        <is>
          <t>TRIM+CLEAN+PROPER sobre 'nombre': elimina espacios, caracteres no imprimibles y capitaliza</t>
        </is>
      </c>
    </row>
    <row r="3">
      <c r="A3" t="inlineStr">
        <is>
          <t>marca_normalizada</t>
        </is>
      </c>
      <c r="B3">
        <f>PROPER(TRIM(SUBSTITUTE(SUBSTITUTE(SUBSTITUTE(SUBSTITUTE(E2,"TRESEMME","Tresemme"),"HEAD &amp; SHOULDERS","Head &amp; Shoulders"),"ELVIVE","Elvive"),"FRUCTIS","Fructis")))</f>
        <v/>
      </c>
      <c r="C3" t="inlineStr">
        <is>
          <t>PROPER+TRIM+SUBSTITUTE sobre 'marca': normaliza case y corrige nombres especificos</t>
        </is>
      </c>
    </row>
    <row r="4">
      <c r="A4" t="inlineStr">
        <is>
          <t>es_duplicado</t>
        </is>
      </c>
      <c r="B4">
        <f>COUNTIF($D$2:$D$10000,D2)&gt;1</f>
        <v/>
      </c>
      <c r="C4" t="inlineStr">
        <is>
          <t>COUNTIF sobre 'nombre': detecta si hay mas de 1 fila con el mismo nombre (posible duplicado)</t>
        </is>
      </c>
    </row>
    <row r="5">
      <c r="A5" t="inlineStr">
        <is>
          <t>disponible_texto</t>
        </is>
      </c>
      <c r="B5">
        <f>IF(H2=TRUE,"Disponible","No disponible")</f>
        <v/>
      </c>
      <c r="C5" t="inlineStr">
        <is>
          <t>IF sobre 'disponible': convierte booleano a texto legible</t>
        </is>
      </c>
    </row>
    <row r="6">
      <c r="A6" t="inlineStr">
        <is>
          <t>precio_ml_calculado</t>
        </is>
      </c>
      <c r="B6">
        <f>IF(AND(ISNUMBER(I2),I2&gt;0),ROUND(F2/I2,2),"Sin volumen")</f>
        <v/>
      </c>
      <c r="C6" t="inlineStr">
        <is>
          <t>IF+AND+ISNUMBER+ROUND: calcula precio/ml solo cuando el volumen es un numero valido</t>
        </is>
      </c>
    </row>
    <row r="7">
      <c r="A7" t="inlineStr">
        <is>
          <t>rango_precio</t>
        </is>
      </c>
      <c r="B7">
        <f>IF(F2&lt;5000,"Bajo",IF(F2&lt;15000,"Medio","Alto"))</f>
        <v/>
      </c>
      <c r="C7" t="inlineStr">
        <is>
          <t>IF anidado sobre 'precio_ars': segmenta en rangos Bajo/Medio/Alto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4" t="inlineStr">
        <is>
          <t>Estadistica Descriptiva — Dataset Shampoo &amp; Acondicionador (Clase 4 UADE)</t>
        </is>
      </c>
    </row>
    <row r="3" ht="20" customHeight="1">
      <c r="A3" s="15" t="inlineStr">
        <is>
          <t>1. precio_ars — Analisis Global  (n=1,562 registros)</t>
        </is>
      </c>
    </row>
    <row r="4" ht="17" customHeight="1">
      <c r="A4" s="16" t="inlineStr">
        <is>
          <t>Metrica</t>
        </is>
      </c>
      <c r="B4" s="16" t="inlineStr">
        <is>
          <t>Valor</t>
        </is>
      </c>
    </row>
    <row r="5" ht="15" customHeight="1">
      <c r="A5" s="17" t="inlineStr">
        <is>
          <t>n</t>
        </is>
      </c>
      <c r="B5" s="18" t="n">
        <v>1562</v>
      </c>
    </row>
    <row r="6" ht="15" customHeight="1">
      <c r="A6" s="19" t="inlineStr">
        <is>
          <t>Minimo</t>
        </is>
      </c>
      <c r="B6" s="20" t="n">
        <v>900</v>
      </c>
    </row>
    <row r="7" ht="15" customHeight="1">
      <c r="A7" s="17" t="inlineStr">
        <is>
          <t>Maximo</t>
        </is>
      </c>
      <c r="B7" s="18" t="n">
        <v>195532</v>
      </c>
    </row>
    <row r="8" ht="15" customHeight="1">
      <c r="A8" s="19" t="inlineStr">
        <is>
          <t>Rango</t>
        </is>
      </c>
      <c r="B8" s="20" t="n">
        <v>194632</v>
      </c>
    </row>
    <row r="9" ht="15" customHeight="1">
      <c r="A9" s="17" t="inlineStr">
        <is>
          <t>Media</t>
        </is>
      </c>
      <c r="B9" s="18" t="n">
        <v>13972.33</v>
      </c>
    </row>
    <row r="10" ht="15" customHeight="1">
      <c r="A10" s="19" t="inlineStr">
        <is>
          <t>Mediana</t>
        </is>
      </c>
      <c r="B10" s="20" t="n">
        <v>9860</v>
      </c>
    </row>
    <row r="11" ht="15" customHeight="1">
      <c r="A11" s="17" t="inlineStr">
        <is>
          <t>Moda</t>
        </is>
      </c>
      <c r="B11" s="18" t="n">
        <v>6714</v>
      </c>
    </row>
    <row r="12" ht="15" customHeight="1">
      <c r="A12" s="19" t="inlineStr">
        <is>
          <t>Varianza</t>
        </is>
      </c>
      <c r="B12" s="20" t="n">
        <v>223945774.38</v>
      </c>
    </row>
    <row r="13" ht="15" customHeight="1">
      <c r="A13" s="17" t="inlineStr">
        <is>
          <t>Desvio Estandar</t>
        </is>
      </c>
      <c r="B13" s="18" t="n">
        <v>14964.82</v>
      </c>
    </row>
    <row r="14" ht="15" customHeight="1">
      <c r="A14" s="19" t="inlineStr">
        <is>
          <t>Asimetria</t>
        </is>
      </c>
      <c r="B14" s="20" t="n">
        <v>4.7659</v>
      </c>
    </row>
    <row r="15" ht="15" customHeight="1">
      <c r="A15" s="17" t="inlineStr">
        <is>
          <t>Curtosis</t>
        </is>
      </c>
      <c r="B15" s="18" t="n">
        <v>33.3008</v>
      </c>
    </row>
    <row r="16" ht="15" customHeight="1">
      <c r="A16" s="19" t="inlineStr">
        <is>
          <t>Q1</t>
        </is>
      </c>
      <c r="B16" s="20" t="n">
        <v>6574</v>
      </c>
    </row>
    <row r="17" ht="15" customHeight="1">
      <c r="A17" s="17" t="inlineStr">
        <is>
          <t>Q2 (Mediana)</t>
        </is>
      </c>
      <c r="B17" s="18" t="n">
        <v>9860</v>
      </c>
    </row>
    <row r="18" ht="15" customHeight="1">
      <c r="A18" s="19" t="inlineStr">
        <is>
          <t>Q3</t>
        </is>
      </c>
      <c r="B18" s="20" t="n">
        <v>16400</v>
      </c>
    </row>
    <row r="19" ht="15" customHeight="1">
      <c r="A19" s="17" t="inlineStr">
        <is>
          <t>RI (Q3 - Q1)</t>
        </is>
      </c>
      <c r="B19" s="18" t="n">
        <v>9826</v>
      </c>
    </row>
    <row r="20" ht="15" customHeight="1">
      <c r="A20" s="19" t="inlineStr">
        <is>
          <t>Limite Inf. Outliers</t>
        </is>
      </c>
      <c r="B20" s="20" t="n">
        <v>-8165</v>
      </c>
    </row>
    <row r="21" ht="15" customHeight="1">
      <c r="A21" s="17" t="inlineStr">
        <is>
          <t>Limite Sup. Outliers</t>
        </is>
      </c>
      <c r="B21" s="18" t="n">
        <v>31139</v>
      </c>
    </row>
    <row r="22" ht="15" customHeight="1">
      <c r="A22" s="19" t="inlineStr">
        <is>
          <t>N Outliers Inferiores</t>
        </is>
      </c>
      <c r="B22" s="20" t="n">
        <v>0</v>
      </c>
    </row>
    <row r="23" ht="15" customHeight="1">
      <c r="A23" s="17" t="inlineStr">
        <is>
          <t>N Outliers Superiores</t>
        </is>
      </c>
      <c r="B23" s="18" t="n">
        <v>106</v>
      </c>
    </row>
    <row r="24" ht="22" customHeight="1">
      <c r="A24" s="21" t="inlineStr">
        <is>
          <t>Nota: Asimetria=4.7659  (cola derecha (precios altos)). Outliers totales: 106</t>
        </is>
      </c>
    </row>
    <row r="26" ht="20" customHeight="1">
      <c r="A26" s="15" t="inlineStr">
        <is>
          <t>2. precio_por_ml — Analisis Global  (n=1,429 con volumen informado)</t>
        </is>
      </c>
    </row>
    <row r="27" ht="17" customHeight="1">
      <c r="A27" s="16" t="inlineStr">
        <is>
          <t>Metrica</t>
        </is>
      </c>
      <c r="B27" s="16" t="inlineStr">
        <is>
          <t>Valor</t>
        </is>
      </c>
    </row>
    <row r="28" ht="15" customHeight="1">
      <c r="A28" s="17" t="inlineStr">
        <is>
          <t>n</t>
        </is>
      </c>
      <c r="B28" s="18" t="n">
        <v>1429</v>
      </c>
    </row>
    <row r="29" ht="15" customHeight="1">
      <c r="A29" s="19" t="inlineStr">
        <is>
          <t>Minimo</t>
        </is>
      </c>
      <c r="B29" s="20" t="n">
        <v>4.95</v>
      </c>
    </row>
    <row r="30" ht="15" customHeight="1">
      <c r="A30" s="17" t="inlineStr">
        <is>
          <t>Maximo</t>
        </is>
      </c>
      <c r="B30" s="18" t="n">
        <v>23855.67</v>
      </c>
    </row>
    <row r="31" ht="15" customHeight="1">
      <c r="A31" s="19" t="inlineStr">
        <is>
          <t>Rango</t>
        </is>
      </c>
      <c r="B31" s="20" t="n">
        <v>23850.72</v>
      </c>
    </row>
    <row r="32" ht="15" customHeight="1">
      <c r="A32" s="17" t="inlineStr">
        <is>
          <t>Media</t>
        </is>
      </c>
      <c r="B32" s="18" t="n">
        <v>74.14</v>
      </c>
    </row>
    <row r="33" ht="15" customHeight="1">
      <c r="A33" s="19" t="inlineStr">
        <is>
          <t>Mediana</t>
        </is>
      </c>
      <c r="B33" s="20" t="n">
        <v>28.47</v>
      </c>
    </row>
    <row r="34" ht="15" customHeight="1">
      <c r="A34" s="17" t="inlineStr">
        <is>
          <t>Moda</t>
        </is>
      </c>
      <c r="B34" s="18" t="n">
        <v>16.79</v>
      </c>
    </row>
    <row r="35" ht="15" customHeight="1">
      <c r="A35" s="19" t="inlineStr">
        <is>
          <t>Varianza</t>
        </is>
      </c>
      <c r="B35" s="20" t="n">
        <v>409646.06</v>
      </c>
    </row>
    <row r="36" ht="15" customHeight="1">
      <c r="A36" s="17" t="inlineStr">
        <is>
          <t>Desvio Estandar</t>
        </is>
      </c>
      <c r="B36" s="18" t="n">
        <v>640.04</v>
      </c>
    </row>
    <row r="37" ht="15" customHeight="1">
      <c r="A37" s="19" t="inlineStr">
        <is>
          <t>Asimetria</t>
        </is>
      </c>
      <c r="B37" s="20" t="n">
        <v>36.046</v>
      </c>
    </row>
    <row r="38" ht="15" customHeight="1">
      <c r="A38" s="17" t="inlineStr">
        <is>
          <t>Curtosis</t>
        </is>
      </c>
      <c r="B38" s="18" t="n">
        <v>1337.6959</v>
      </c>
    </row>
    <row r="39" ht="15" customHeight="1">
      <c r="A39" s="19" t="inlineStr">
        <is>
          <t>Q1</t>
        </is>
      </c>
      <c r="B39" s="20" t="n">
        <v>22.31</v>
      </c>
    </row>
    <row r="40" ht="15" customHeight="1">
      <c r="A40" s="17" t="inlineStr">
        <is>
          <t>Q2 (Mediana)</t>
        </is>
      </c>
      <c r="B40" s="18" t="n">
        <v>28.47</v>
      </c>
    </row>
    <row r="41" ht="15" customHeight="1">
      <c r="A41" s="19" t="inlineStr">
        <is>
          <t>Q3</t>
        </is>
      </c>
      <c r="B41" s="20" t="n">
        <v>41</v>
      </c>
    </row>
    <row r="42" ht="15" customHeight="1">
      <c r="A42" s="17" t="inlineStr">
        <is>
          <t>RI (Q3 - Q1)</t>
        </is>
      </c>
      <c r="B42" s="18" t="n">
        <v>18.69</v>
      </c>
    </row>
    <row r="43" ht="15" customHeight="1">
      <c r="A43" s="19" t="inlineStr">
        <is>
          <t>Limite Inf. Outliers</t>
        </is>
      </c>
      <c r="B43" s="20" t="n">
        <v>-5.72</v>
      </c>
    </row>
    <row r="44" ht="15" customHeight="1">
      <c r="A44" s="17" t="inlineStr">
        <is>
          <t>Limite Sup. Outliers</t>
        </is>
      </c>
      <c r="B44" s="18" t="n">
        <v>69.03</v>
      </c>
    </row>
    <row r="45" ht="15" customHeight="1">
      <c r="A45" s="19" t="inlineStr">
        <is>
          <t>N Outliers Inferiores</t>
        </is>
      </c>
      <c r="B45" s="20" t="n">
        <v>0</v>
      </c>
    </row>
    <row r="46" ht="15" customHeight="1">
      <c r="A46" s="17" t="inlineStr">
        <is>
          <t>N Outliers Superiores</t>
        </is>
      </c>
      <c r="B46" s="18" t="n">
        <v>215</v>
      </c>
    </row>
    <row r="47" ht="22" customHeight="1">
      <c r="A47" s="21" t="inlineStr">
        <is>
          <t>Nota: Asimetria=36.046  (cola derecha (precios altos)). Outliers totales: 215</t>
        </is>
      </c>
    </row>
    <row r="49" ht="20" customHeight="1">
      <c r="A49" s="22" t="inlineStr">
        <is>
          <t>3. H1: precio_por_ml por linea_tipo  (Profesional vs Estandar)</t>
        </is>
      </c>
    </row>
    <row r="50" ht="17" customHeight="1">
      <c r="A50" s="16" t="inlineStr">
        <is>
          <t>Metrica</t>
        </is>
      </c>
      <c r="B50" s="16" t="inlineStr">
        <is>
          <t>estandar</t>
        </is>
      </c>
      <c r="C50" s="16" t="inlineStr">
        <is>
          <t>profesional</t>
        </is>
      </c>
    </row>
    <row r="51" ht="15" customHeight="1">
      <c r="A51" s="17" t="inlineStr">
        <is>
          <t>n</t>
        </is>
      </c>
      <c r="B51" s="18" t="n">
        <v>1059</v>
      </c>
      <c r="C51" s="18" t="n">
        <v>370</v>
      </c>
    </row>
    <row r="52" ht="15" customHeight="1">
      <c r="A52" s="19" t="inlineStr">
        <is>
          <t>Media</t>
        </is>
      </c>
      <c r="B52" s="20" t="n">
        <v>84.88</v>
      </c>
      <c r="C52" s="20" t="n">
        <v>43.4</v>
      </c>
    </row>
    <row r="53" ht="15" customHeight="1">
      <c r="A53" s="17" t="inlineStr">
        <is>
          <t>Mediana</t>
        </is>
      </c>
      <c r="B53" s="18" t="n">
        <v>28.31</v>
      </c>
      <c r="C53" s="18" t="n">
        <v>28.69</v>
      </c>
    </row>
    <row r="54" ht="15" customHeight="1">
      <c r="A54" s="19" t="inlineStr">
        <is>
          <t>Desvio Estandar</t>
        </is>
      </c>
      <c r="B54" s="20" t="n">
        <v>742.36</v>
      </c>
      <c r="C54" s="20" t="n">
        <v>62.46</v>
      </c>
    </row>
    <row r="55" ht="15" customHeight="1">
      <c r="A55" s="17" t="inlineStr">
        <is>
          <t>Minimo</t>
        </is>
      </c>
      <c r="B55" s="18" t="n">
        <v>4.95</v>
      </c>
      <c r="C55" s="18" t="n">
        <v>9.98</v>
      </c>
    </row>
    <row r="56" ht="15" customHeight="1">
      <c r="A56" s="19" t="inlineStr">
        <is>
          <t>Maximo</t>
        </is>
      </c>
      <c r="B56" s="20" t="n">
        <v>23855.67</v>
      </c>
      <c r="C56" s="20" t="n">
        <v>498.8</v>
      </c>
    </row>
    <row r="57" ht="15" customHeight="1">
      <c r="A57" s="17" t="inlineStr">
        <is>
          <t>Rango</t>
        </is>
      </c>
      <c r="B57" s="18" t="n">
        <v>23850.72</v>
      </c>
      <c r="C57" s="18" t="n">
        <v>488.81</v>
      </c>
    </row>
    <row r="58" ht="15" customHeight="1">
      <c r="A58" s="19" t="inlineStr">
        <is>
          <t>Q1</t>
        </is>
      </c>
      <c r="B58" s="20" t="n">
        <v>21.61</v>
      </c>
      <c r="C58" s="20" t="n">
        <v>22.83</v>
      </c>
    </row>
    <row r="59" ht="15" customHeight="1">
      <c r="A59" s="17" t="inlineStr">
        <is>
          <t>Q3</t>
        </is>
      </c>
      <c r="B59" s="18" t="n">
        <v>43.77</v>
      </c>
      <c r="C59" s="18" t="n">
        <v>37.75</v>
      </c>
    </row>
    <row r="60" ht="15" customHeight="1">
      <c r="A60" s="19" t="inlineStr">
        <is>
          <t>RI (Q3 - Q1)</t>
        </is>
      </c>
      <c r="B60" s="20" t="n">
        <v>22.16</v>
      </c>
      <c r="C60" s="20" t="n">
        <v>14.92</v>
      </c>
    </row>
    <row r="61" ht="15" customHeight="1">
      <c r="A61" s="17" t="inlineStr">
        <is>
          <t>Limite Inf. Outliers</t>
        </is>
      </c>
      <c r="B61" s="18" t="n">
        <v>-11.63</v>
      </c>
      <c r="C61" s="18" t="n">
        <v>0.45</v>
      </c>
    </row>
    <row r="62" ht="15" customHeight="1">
      <c r="A62" s="19" t="inlineStr">
        <is>
          <t>Limite Sup. Outliers</t>
        </is>
      </c>
      <c r="B62" s="20" t="n">
        <v>77.02</v>
      </c>
      <c r="C62" s="20" t="n">
        <v>60.13</v>
      </c>
    </row>
    <row r="63" ht="15" customHeight="1">
      <c r="A63" s="17" t="inlineStr">
        <is>
          <t>N Outliers Inferiores</t>
        </is>
      </c>
      <c r="B63" s="18" t="n">
        <v>0</v>
      </c>
      <c r="C63" s="18" t="n">
        <v>0</v>
      </c>
    </row>
    <row r="64" ht="15" customHeight="1">
      <c r="A64" s="19" t="inlineStr">
        <is>
          <t>N Outliers Superiores</t>
        </is>
      </c>
      <c r="B64" s="20" t="n">
        <v>169</v>
      </c>
      <c r="C64" s="20" t="n">
        <v>32</v>
      </c>
    </row>
    <row r="66" ht="20" customHeight="1">
      <c r="A66" s="23" t="inlineStr">
        <is>
          <t>4. H2: precio_por_ml por tipo_cabello</t>
        </is>
      </c>
    </row>
    <row r="67" ht="17" customHeight="1">
      <c r="A67" s="16" t="inlineStr">
        <is>
          <t>Metrica</t>
        </is>
      </c>
      <c r="B67" s="16" t="inlineStr">
        <is>
          <t>anticaspa</t>
        </is>
      </c>
      <c r="C67" s="16" t="inlineStr">
        <is>
          <t>bebe</t>
        </is>
      </c>
      <c r="D67" s="16" t="inlineStr">
        <is>
          <t>general</t>
        </is>
      </c>
      <c r="E67" s="16" t="inlineStr">
        <is>
          <t>graso</t>
        </is>
      </c>
      <c r="F67" s="16" t="inlineStr">
        <is>
          <t>rizado</t>
        </is>
      </c>
      <c r="G67" s="16" t="inlineStr">
        <is>
          <t>seco_danado</t>
        </is>
      </c>
      <c r="H67" s="16" t="inlineStr">
        <is>
          <t>tratado</t>
        </is>
      </c>
    </row>
    <row r="68" ht="15" customHeight="1">
      <c r="A68" s="17" t="inlineStr">
        <is>
          <t>n</t>
        </is>
      </c>
      <c r="B68" s="18" t="n">
        <v>65</v>
      </c>
      <c r="C68" s="18" t="n">
        <v>57</v>
      </c>
      <c r="D68" s="18" t="n">
        <v>1085</v>
      </c>
      <c r="E68" s="18" t="n">
        <v>5</v>
      </c>
      <c r="F68" s="18" t="n">
        <v>33</v>
      </c>
      <c r="G68" s="18" t="n">
        <v>84</v>
      </c>
      <c r="H68" s="18" t="n">
        <v>100</v>
      </c>
    </row>
    <row r="69" ht="15" customHeight="1">
      <c r="A69" s="19" t="inlineStr">
        <is>
          <t>Media</t>
        </is>
      </c>
      <c r="B69" s="20" t="n">
        <v>116.33</v>
      </c>
      <c r="C69" s="20" t="n">
        <v>32.39</v>
      </c>
      <c r="D69" s="20" t="n">
        <v>78.08</v>
      </c>
      <c r="E69" s="20" t="n">
        <v>22.77</v>
      </c>
      <c r="F69" s="20" t="n">
        <v>27.33</v>
      </c>
      <c r="G69" s="20" t="n">
        <v>49.51</v>
      </c>
      <c r="H69" s="20" t="n">
        <v>66.43000000000001</v>
      </c>
    </row>
    <row r="70" ht="15" customHeight="1">
      <c r="A70" s="17" t="inlineStr">
        <is>
          <t>Mediana</t>
        </is>
      </c>
      <c r="B70" s="18" t="n">
        <v>34.93</v>
      </c>
      <c r="C70" s="18" t="n">
        <v>27.87</v>
      </c>
      <c r="D70" s="18" t="n">
        <v>28.31</v>
      </c>
      <c r="E70" s="18" t="n">
        <v>23.21</v>
      </c>
      <c r="F70" s="18" t="n">
        <v>25.23</v>
      </c>
      <c r="G70" s="18" t="n">
        <v>26.16</v>
      </c>
      <c r="H70" s="18" t="n">
        <v>32.86</v>
      </c>
    </row>
    <row r="71" ht="15" customHeight="1">
      <c r="A71" s="19" t="inlineStr">
        <is>
          <t>Desvio Estandar</t>
        </is>
      </c>
      <c r="B71" s="20" t="n">
        <v>370.34</v>
      </c>
      <c r="C71" s="20" t="n">
        <v>26.04</v>
      </c>
      <c r="D71" s="20" t="n">
        <v>727.87</v>
      </c>
      <c r="E71" s="20" t="n">
        <v>2.9</v>
      </c>
      <c r="F71" s="20" t="n">
        <v>10.44</v>
      </c>
      <c r="G71" s="20" t="n">
        <v>78.64</v>
      </c>
      <c r="H71" s="20" t="n">
        <v>99.31</v>
      </c>
    </row>
    <row r="72" ht="15" customHeight="1">
      <c r="A72" s="17" t="inlineStr">
        <is>
          <t>Minimo</t>
        </is>
      </c>
      <c r="B72" s="18" t="n">
        <v>18.16</v>
      </c>
      <c r="C72" s="18" t="n">
        <v>4.95</v>
      </c>
      <c r="D72" s="18" t="n">
        <v>5.6</v>
      </c>
      <c r="E72" s="18" t="n">
        <v>18.04</v>
      </c>
      <c r="F72" s="18" t="n">
        <v>13.15</v>
      </c>
      <c r="G72" s="18" t="n">
        <v>6.2</v>
      </c>
      <c r="H72" s="18" t="n">
        <v>13.15</v>
      </c>
    </row>
    <row r="73" ht="15" customHeight="1">
      <c r="A73" s="19" t="inlineStr">
        <is>
          <t>Maximo</t>
        </is>
      </c>
      <c r="B73" s="20" t="n">
        <v>2939.86</v>
      </c>
      <c r="C73" s="20" t="n">
        <v>188.15</v>
      </c>
      <c r="D73" s="20" t="n">
        <v>23855.67</v>
      </c>
      <c r="E73" s="20" t="n">
        <v>25.95</v>
      </c>
      <c r="F73" s="20" t="n">
        <v>62.58</v>
      </c>
      <c r="G73" s="20" t="n">
        <v>415.62</v>
      </c>
      <c r="H73" s="20" t="n">
        <v>449.8</v>
      </c>
    </row>
    <row r="74" ht="15" customHeight="1">
      <c r="A74" s="17" t="inlineStr">
        <is>
          <t>Rango</t>
        </is>
      </c>
      <c r="B74" s="18" t="n">
        <v>2921.7</v>
      </c>
      <c r="C74" s="18" t="n">
        <v>183.2</v>
      </c>
      <c r="D74" s="18" t="n">
        <v>23850.07</v>
      </c>
      <c r="E74" s="18" t="n">
        <v>7.92</v>
      </c>
      <c r="F74" s="18" t="n">
        <v>49.43</v>
      </c>
      <c r="G74" s="18" t="n">
        <v>409.42</v>
      </c>
      <c r="H74" s="18" t="n">
        <v>436.65</v>
      </c>
    </row>
    <row r="75" ht="15" customHeight="1">
      <c r="A75" s="19" t="inlineStr">
        <is>
          <t>Q1</t>
        </is>
      </c>
      <c r="B75" s="20" t="n">
        <v>28.55</v>
      </c>
      <c r="C75" s="20" t="n">
        <v>20.83</v>
      </c>
      <c r="D75" s="20" t="n">
        <v>21.4</v>
      </c>
      <c r="E75" s="20" t="n">
        <v>22.98</v>
      </c>
      <c r="F75" s="20" t="n">
        <v>17.5</v>
      </c>
      <c r="G75" s="20" t="n">
        <v>19.1</v>
      </c>
      <c r="H75" s="20" t="n">
        <v>24.8</v>
      </c>
    </row>
    <row r="76" ht="15" customHeight="1">
      <c r="A76" s="17" t="inlineStr">
        <is>
          <t>Q3</t>
        </is>
      </c>
      <c r="B76" s="18" t="n">
        <v>43.89</v>
      </c>
      <c r="C76" s="18" t="n">
        <v>33.5</v>
      </c>
      <c r="D76" s="18" t="n">
        <v>41.25</v>
      </c>
      <c r="E76" s="18" t="n">
        <v>23.66</v>
      </c>
      <c r="F76" s="18" t="n">
        <v>34.95</v>
      </c>
      <c r="G76" s="18" t="n">
        <v>34.75</v>
      </c>
      <c r="H76" s="18" t="n">
        <v>45</v>
      </c>
    </row>
    <row r="77" ht="15" customHeight="1">
      <c r="A77" s="19" t="inlineStr">
        <is>
          <t>RI (Q3 - Q1)</t>
        </is>
      </c>
      <c r="B77" s="20" t="n">
        <v>15.33</v>
      </c>
      <c r="C77" s="20" t="n">
        <v>12.67</v>
      </c>
      <c r="D77" s="20" t="n">
        <v>19.85</v>
      </c>
      <c r="E77" s="20" t="n">
        <v>0.68</v>
      </c>
      <c r="F77" s="20" t="n">
        <v>17.45</v>
      </c>
      <c r="G77" s="20" t="n">
        <v>15.65</v>
      </c>
      <c r="H77" s="20" t="n">
        <v>20.2</v>
      </c>
    </row>
    <row r="78" ht="15" customHeight="1">
      <c r="A78" s="17" t="inlineStr">
        <is>
          <t>Limite Inf. Outliers</t>
        </is>
      </c>
      <c r="B78" s="18" t="n">
        <v>5.56</v>
      </c>
      <c r="C78" s="18" t="n">
        <v>1.82</v>
      </c>
      <c r="D78" s="18" t="n">
        <v>-8.380000000000001</v>
      </c>
      <c r="E78" s="18" t="n">
        <v>21.96</v>
      </c>
      <c r="F78" s="18" t="n">
        <v>-8.67</v>
      </c>
      <c r="G78" s="18" t="n">
        <v>-4.37</v>
      </c>
      <c r="H78" s="18" t="n">
        <v>-5.5</v>
      </c>
    </row>
    <row r="79" ht="15" customHeight="1">
      <c r="A79" s="19" t="inlineStr">
        <is>
          <t>Limite Sup. Outliers</t>
        </is>
      </c>
      <c r="B79" s="20" t="n">
        <v>66.88</v>
      </c>
      <c r="C79" s="20" t="n">
        <v>52.5</v>
      </c>
      <c r="D79" s="20" t="n">
        <v>71.03</v>
      </c>
      <c r="E79" s="20" t="n">
        <v>24.68</v>
      </c>
      <c r="F79" s="20" t="n">
        <v>61.12</v>
      </c>
      <c r="G79" s="20" t="n">
        <v>58.23</v>
      </c>
      <c r="H79" s="20" t="n">
        <v>75.3</v>
      </c>
    </row>
    <row r="80" ht="15" customHeight="1">
      <c r="A80" s="17" t="inlineStr">
        <is>
          <t>N Outliers Inferiores</t>
        </is>
      </c>
      <c r="B80" s="18" t="n">
        <v>0</v>
      </c>
      <c r="C80" s="18" t="n">
        <v>0</v>
      </c>
      <c r="D80" s="18" t="n">
        <v>0</v>
      </c>
      <c r="E80" s="18" t="n">
        <v>1</v>
      </c>
      <c r="F80" s="18" t="n">
        <v>0</v>
      </c>
      <c r="G80" s="18" t="n">
        <v>0</v>
      </c>
      <c r="H80" s="18" t="n">
        <v>0</v>
      </c>
    </row>
    <row r="81" ht="15" customHeight="1">
      <c r="A81" s="19" t="inlineStr">
        <is>
          <t>N Outliers Superiores</t>
        </is>
      </c>
      <c r="B81" s="20" t="n">
        <v>12</v>
      </c>
      <c r="C81" s="20" t="n">
        <v>3</v>
      </c>
      <c r="D81" s="20" t="n">
        <v>160</v>
      </c>
      <c r="E81" s="20" t="n">
        <v>1</v>
      </c>
      <c r="F81" s="20" t="n">
        <v>1</v>
      </c>
      <c r="G81" s="20" t="n">
        <v>12</v>
      </c>
      <c r="H81" s="20" t="n">
        <v>15</v>
      </c>
    </row>
    <row r="83" ht="20" customHeight="1">
      <c r="A83" s="24" t="inlineStr">
        <is>
          <t>5. H3: precio_ars por fuente  (Jumbo vs Farmacity vs Disco)</t>
        </is>
      </c>
    </row>
    <row r="84" ht="17" customHeight="1">
      <c r="A84" s="16" t="inlineStr">
        <is>
          <t>Metrica</t>
        </is>
      </c>
      <c r="B84" s="16" t="inlineStr">
        <is>
          <t>Jumbo</t>
        </is>
      </c>
      <c r="C84" s="16" t="inlineStr">
        <is>
          <t>Farmacity</t>
        </is>
      </c>
      <c r="D84" s="16" t="inlineStr">
        <is>
          <t>Disco</t>
        </is>
      </c>
    </row>
    <row r="85" ht="15" customHeight="1">
      <c r="A85" s="17" t="inlineStr">
        <is>
          <t>n</t>
        </is>
      </c>
      <c r="B85" s="18" t="n">
        <v>386</v>
      </c>
      <c r="C85" s="18" t="n">
        <v>876</v>
      </c>
      <c r="D85" s="18" t="n">
        <v>300</v>
      </c>
    </row>
    <row r="86" ht="15" customHeight="1">
      <c r="A86" s="19" t="inlineStr">
        <is>
          <t>Media</t>
        </is>
      </c>
      <c r="B86" s="20" t="n">
        <v>10320.19</v>
      </c>
      <c r="C86" s="20" t="n">
        <v>16581.69</v>
      </c>
      <c r="D86" s="20" t="n">
        <v>11052.09</v>
      </c>
    </row>
    <row r="87" ht="15" customHeight="1">
      <c r="A87" s="17" t="inlineStr">
        <is>
          <t>Mediana</t>
        </is>
      </c>
      <c r="B87" s="18" t="n">
        <v>9527.5</v>
      </c>
      <c r="C87" s="18" t="n">
        <v>10040</v>
      </c>
      <c r="D87" s="18" t="n">
        <v>10375</v>
      </c>
    </row>
    <row r="88" ht="15" customHeight="1">
      <c r="A88" s="19" t="inlineStr">
        <is>
          <t>Desvio Estandar</t>
        </is>
      </c>
      <c r="B88" s="20" t="n">
        <v>4442.34</v>
      </c>
      <c r="C88" s="20" t="n">
        <v>19185.3</v>
      </c>
      <c r="D88" s="20" t="n">
        <v>4569.8</v>
      </c>
    </row>
    <row r="89" ht="15" customHeight="1">
      <c r="A89" s="17" t="inlineStr">
        <is>
          <t>Minimo</t>
        </is>
      </c>
      <c r="B89" s="18" t="n">
        <v>2350</v>
      </c>
      <c r="C89" s="18" t="n">
        <v>900</v>
      </c>
      <c r="D89" s="18" t="n">
        <v>3850</v>
      </c>
    </row>
    <row r="90" ht="15" customHeight="1">
      <c r="A90" s="19" t="inlineStr">
        <is>
          <t>Maximo</t>
        </is>
      </c>
      <c r="B90" s="20" t="n">
        <v>22350</v>
      </c>
      <c r="C90" s="20" t="n">
        <v>195532</v>
      </c>
      <c r="D90" s="20" t="n">
        <v>22750</v>
      </c>
    </row>
    <row r="91" ht="15" customHeight="1">
      <c r="A91" s="17" t="inlineStr">
        <is>
          <t>Rango</t>
        </is>
      </c>
      <c r="B91" s="18" t="n">
        <v>20000</v>
      </c>
      <c r="C91" s="18" t="n">
        <v>194632</v>
      </c>
      <c r="D91" s="18" t="n">
        <v>18900</v>
      </c>
    </row>
    <row r="92" ht="15" customHeight="1">
      <c r="A92" s="19" t="inlineStr">
        <is>
          <t>Q1</t>
        </is>
      </c>
      <c r="B92" s="20" t="n">
        <v>6750</v>
      </c>
      <c r="C92" s="20" t="n">
        <v>6137</v>
      </c>
      <c r="D92" s="20" t="n">
        <v>7650</v>
      </c>
    </row>
    <row r="93" ht="15" customHeight="1">
      <c r="A93" s="17" t="inlineStr">
        <is>
          <t>Q3</t>
        </is>
      </c>
      <c r="B93" s="18" t="n">
        <v>12200</v>
      </c>
      <c r="C93" s="18" t="n">
        <v>18686.75</v>
      </c>
      <c r="D93" s="18" t="n">
        <v>13100</v>
      </c>
    </row>
    <row r="94" ht="15" customHeight="1">
      <c r="A94" s="19" t="inlineStr">
        <is>
          <t>RI (Q3 - Q1)</t>
        </is>
      </c>
      <c r="B94" s="20" t="n">
        <v>5450</v>
      </c>
      <c r="C94" s="20" t="n">
        <v>12549.75</v>
      </c>
      <c r="D94" s="20" t="n">
        <v>5450</v>
      </c>
    </row>
    <row r="95" ht="15" customHeight="1">
      <c r="A95" s="17" t="inlineStr">
        <is>
          <t>Limite Inf. Outliers</t>
        </is>
      </c>
      <c r="B95" s="18" t="n">
        <v>-1425</v>
      </c>
      <c r="C95" s="18" t="n">
        <v>-12687.62</v>
      </c>
      <c r="D95" s="18" t="n">
        <v>-525</v>
      </c>
    </row>
    <row r="96" ht="15" customHeight="1">
      <c r="A96" s="19" t="inlineStr">
        <is>
          <t>Limite Sup. Outliers</t>
        </is>
      </c>
      <c r="B96" s="20" t="n">
        <v>20375</v>
      </c>
      <c r="C96" s="20" t="n">
        <v>37511.38</v>
      </c>
      <c r="D96" s="20" t="n">
        <v>21275</v>
      </c>
    </row>
    <row r="97" ht="15" customHeight="1">
      <c r="A97" s="17" t="inlineStr">
        <is>
          <t>N Outliers Inferiores</t>
        </is>
      </c>
      <c r="B97" s="18" t="n">
        <v>0</v>
      </c>
      <c r="C97" s="18" t="n">
        <v>0</v>
      </c>
      <c r="D97" s="18" t="n">
        <v>0</v>
      </c>
    </row>
    <row r="98" ht="15" customHeight="1">
      <c r="A98" s="19" t="inlineStr">
        <is>
          <t>N Outliers Superiores</t>
        </is>
      </c>
      <c r="B98" s="20" t="n">
        <v>11</v>
      </c>
      <c r="C98" s="20" t="n">
        <v>78</v>
      </c>
      <c r="D98" s="20" t="n">
        <v>6</v>
      </c>
    </row>
  </sheetData>
  <mergeCells count="8">
    <mergeCell ref="A26:B26"/>
    <mergeCell ref="A24:B24"/>
    <mergeCell ref="A1:G1"/>
    <mergeCell ref="A49:C49"/>
    <mergeCell ref="A83:D83"/>
    <mergeCell ref="A47:B47"/>
    <mergeCell ref="A66:H66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2026-06-20T04:50:57Z</dcterms:created>
  <dcterms:modified xmlns:dcterms="http://purl.org/dc/terms/" xmlns:xsi="http://www.w3.org/2001/XMLSchema-instance" xsi:type="dcterms:W3CDTF">2026-06-20T04:51:00Z</dcterms:modified>
</cp:coreProperties>
</file>